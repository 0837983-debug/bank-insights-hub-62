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m/bin/files4upload/finRes/"/>
    </mc:Choice>
  </mc:AlternateContent>
  <xr:revisionPtr revIDLastSave="0" documentId="13_ncr:1_{2C6EF176-544F-AB41-A4FF-B7B1742E8D5E}" xr6:coauthVersionLast="47" xr6:coauthVersionMax="47" xr10:uidLastSave="{00000000-0000-0000-0000-000000000000}"/>
  <bookViews>
    <workbookView xWindow="0" yWindow="500" windowWidth="28800" windowHeight="17500" xr2:uid="{393712F7-FEBA-6244-AE7E-0CC87678B50A}"/>
  </bookViews>
  <sheets>
    <sheet name="Data_BI" sheetId="3" r:id="rId1"/>
    <sheet name="Лист4" sheetId="4" r:id="rId2"/>
  </sheets>
  <externalReferences>
    <externalReference r:id="rId3"/>
  </externalReferences>
  <definedNames>
    <definedName name="_xlnm._FilterDatabase" localSheetId="0" hidden="1">Data_BI!$A$1:$K$568</definedName>
    <definedName name="page\x2dtotal">#REF!</definedName>
    <definedName name="page\x2dtotal\x2dmaster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68" i="3" l="1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C9" i="4"/>
  <c r="C384" i="3" l="1"/>
  <c r="C386" i="3"/>
  <c r="C393" i="3"/>
  <c r="C396" i="3"/>
  <c r="C399" i="3"/>
  <c r="C401" i="3"/>
  <c r="C409" i="3"/>
  <c r="C411" i="3"/>
  <c r="C413" i="3"/>
  <c r="C415" i="3"/>
  <c r="C416" i="3"/>
  <c r="C417" i="3"/>
  <c r="C419" i="3"/>
  <c r="C421" i="3"/>
  <c r="C427" i="3"/>
  <c r="C429" i="3"/>
  <c r="C442" i="3"/>
  <c r="C445" i="3"/>
  <c r="C456" i="3"/>
  <c r="C458" i="3"/>
  <c r="C459" i="3"/>
  <c r="C461" i="3"/>
  <c r="C468" i="3"/>
  <c r="C469" i="3"/>
  <c r="C482" i="3"/>
  <c r="C483" i="3"/>
  <c r="C486" i="3"/>
  <c r="C487" i="3"/>
  <c r="C489" i="3"/>
  <c r="C490" i="3"/>
  <c r="C493" i="3"/>
  <c r="C494" i="3"/>
  <c r="C495" i="3"/>
  <c r="C511" i="3"/>
  <c r="C513" i="3"/>
  <c r="C546" i="3"/>
  <c r="C556" i="3"/>
  <c r="C238" i="3"/>
  <c r="C254" i="3"/>
  <c r="C268" i="3"/>
  <c r="C282" i="3"/>
  <c r="C286" i="3"/>
  <c r="C287" i="3"/>
  <c r="C297" i="3"/>
  <c r="C307" i="3"/>
  <c r="C336" i="3"/>
  <c r="C340" i="3"/>
  <c r="C373" i="3"/>
  <c r="C406" i="3"/>
  <c r="C428" i="3"/>
  <c r="C485" i="3"/>
  <c r="C488" i="3"/>
  <c r="C515" i="3"/>
  <c r="C529" i="3"/>
  <c r="C543" i="3"/>
  <c r="C547" i="3"/>
  <c r="C548" i="3"/>
  <c r="C550" i="3"/>
  <c r="C552" i="3"/>
  <c r="C562" i="3"/>
  <c r="C567" i="3"/>
  <c r="C258" i="3"/>
  <c r="C521" i="3"/>
  <c r="C539" i="3"/>
  <c r="C240" i="3"/>
  <c r="C250" i="3"/>
  <c r="C251" i="3"/>
  <c r="C273" i="3"/>
  <c r="C275" i="3"/>
  <c r="C509" i="3"/>
  <c r="C537" i="3"/>
  <c r="C541" i="3"/>
  <c r="C542" i="3"/>
  <c r="C551" i="3"/>
  <c r="C553" i="3"/>
  <c r="C6" i="3"/>
  <c r="C8" i="3"/>
  <c r="C11" i="3"/>
  <c r="C22" i="3"/>
  <c r="C26" i="3"/>
  <c r="C32" i="3"/>
  <c r="C36" i="3"/>
  <c r="C38" i="3"/>
  <c r="C42" i="3"/>
  <c r="C46" i="3"/>
  <c r="C48" i="3"/>
  <c r="C51" i="3"/>
  <c r="C56" i="3"/>
  <c r="C67" i="3"/>
  <c r="C73" i="3"/>
  <c r="C79" i="3"/>
  <c r="C82" i="3"/>
  <c r="C89" i="3"/>
  <c r="C91" i="3"/>
  <c r="C106" i="3"/>
  <c r="C123" i="3"/>
  <c r="C125" i="3"/>
  <c r="C141" i="3"/>
  <c r="C149" i="3"/>
  <c r="C158" i="3"/>
  <c r="C159" i="3"/>
  <c r="C168" i="3"/>
  <c r="C170" i="3"/>
  <c r="C176" i="3"/>
  <c r="C179" i="3"/>
  <c r="C180" i="3"/>
  <c r="C182" i="3"/>
  <c r="C199" i="3"/>
  <c r="C209" i="3"/>
  <c r="C210" i="3"/>
  <c r="C212" i="3"/>
  <c r="C214" i="3"/>
  <c r="C216" i="3"/>
  <c r="C220" i="3"/>
  <c r="C112" i="3"/>
  <c r="C148" i="3"/>
  <c r="C160" i="3"/>
  <c r="C175" i="3"/>
  <c r="C178" i="3"/>
  <c r="C196" i="3"/>
  <c r="C208" i="3"/>
  <c r="C219" i="3"/>
  <c r="C221" i="3"/>
  <c r="B263" i="3" l="1"/>
  <c r="C263" i="3"/>
  <c r="C310" i="3"/>
  <c r="B310" i="3"/>
</calcChain>
</file>

<file path=xl/sharedStrings.xml><?xml version="1.0" encoding="utf-8"?>
<sst xmlns="http://schemas.openxmlformats.org/spreadsheetml/2006/main" count="4472" uniqueCount="623">
  <si>
    <t>Название</t>
  </si>
  <si>
    <t>Тип</t>
  </si>
  <si>
    <t>2уровень</t>
  </si>
  <si>
    <t>Ф/Ю</t>
  </si>
  <si>
    <t>Расшифровка</t>
  </si>
  <si>
    <t>Название счета</t>
  </si>
  <si>
    <t>Сумма</t>
  </si>
  <si>
    <t>Сумма_модуль</t>
  </si>
  <si>
    <t>Месяц</t>
  </si>
  <si>
    <t>Счет</t>
  </si>
  <si>
    <t>Наименование клиента</t>
  </si>
  <si>
    <t>Код страны</t>
  </si>
  <si>
    <t>Комментарии</t>
  </si>
  <si>
    <t>УК</t>
  </si>
  <si>
    <t>Группа</t>
  </si>
  <si>
    <t>1) ЧПД</t>
  </si>
  <si>
    <t>Процентный доход</t>
  </si>
  <si>
    <t>% по корсчетам в банках-нерезидентах</t>
  </si>
  <si>
    <t>#</t>
  </si>
  <si>
    <t>‭% по корсчетам в банках- нерезидентах в иностранных валютах‬</t>
  </si>
  <si>
    <t>Январь</t>
  </si>
  <si>
    <t>‭Общество с ограниченной ответственностью "Цифра банк"‬</t>
  </si>
  <si>
    <t>RU</t>
  </si>
  <si>
    <t>-</t>
  </si>
  <si>
    <t>Учетные данные</t>
  </si>
  <si>
    <t>Доход</t>
  </si>
  <si>
    <t>‭% по корсчетам в банках- нерезидентах в рублях‬</t>
  </si>
  <si>
    <t>Доход от амортизации корректировок по ссудам</t>
  </si>
  <si>
    <t>‭Доходы от амортизации корректировок по ссудам ф/л резидентов‬</t>
  </si>
  <si>
    <t>Доход от пересчета начисленных процентов при досрочном закрытии депозита</t>
  </si>
  <si>
    <t>ФЛ</t>
  </si>
  <si>
    <t>‭Доходы от пересчета начисленных процентов при досрочном закрытии депозита - физ.лиц.-резид. в рублях‬</t>
  </si>
  <si>
    <t>Проценты по депозиту в ЦБ</t>
  </si>
  <si>
    <t>‭Процентные доходы по депозитам в ЦБ РФ‬</t>
  </si>
  <si>
    <t>Проценты по кредитам ФЛ</t>
  </si>
  <si>
    <t>‭Процентный доход по кредитным картам физлиц-резидентов в руб. (Овердрафт к ПК)‬</t>
  </si>
  <si>
    <t>‭Проценты по кредитм физлиц (срочные)- внутренний‬</t>
  </si>
  <si>
    <t>Проценты по кредитам ЮЛ/МБК</t>
  </si>
  <si>
    <t>ЮЛ</t>
  </si>
  <si>
    <t>‭Процентам по кредитам предоставл. юр.лицам-нерезидентам‬</t>
  </si>
  <si>
    <t>‭Процентные доходы по межбанковским кредитам международным финансовым организациям в рублях‬</t>
  </si>
  <si>
    <t>‭Проценты по кредитам, предоставленным негосударственным финансовым организациям‬</t>
  </si>
  <si>
    <t>‭Проценты по кредитам предоставл. юр.лицам‬</t>
  </si>
  <si>
    <t>‭Процентные доходы по межбанковским кредитам в рублях‬</t>
  </si>
  <si>
    <t>Проценты по РЕПО</t>
  </si>
  <si>
    <t>‭Доходы от сделок РЕПО в руб.‬</t>
  </si>
  <si>
    <t>Проценты по ЦБ в портфеле</t>
  </si>
  <si>
    <t>‭Дисконт по облигациям  прочих резидентов по АС в валюте‬</t>
  </si>
  <si>
    <t>‭Дисконт по облигациям субъектов РФ по АС в рублях‬</t>
  </si>
  <si>
    <t>‭Дисконт  по облигациям прочих резидентов  по ССчПСД в рублях‬</t>
  </si>
  <si>
    <t>‭Дисконт по облигациям прочих нерезидентов  по АС в рублях‬</t>
  </si>
  <si>
    <t>‭Дисконт по облигациям КО по АС в рублях‬</t>
  </si>
  <si>
    <t>‭Дисконт по облигациям РФ  по АС в рублях‬</t>
  </si>
  <si>
    <t>‭НКД  по облигациям РФ по АС в рублях‬</t>
  </si>
  <si>
    <t>‭Дисконт по облигациям  прочих резидентов по АС в рублях‬</t>
  </si>
  <si>
    <t>‭НКД  по облигациям  прочих резидентов по АС в валюте‬</t>
  </si>
  <si>
    <t>‭НКД  по облигациям субъектов РФ  по АС в рублях‬</t>
  </si>
  <si>
    <t>‭НКД  по облигациям  прочих нерезидентов по АС в рублях‬</t>
  </si>
  <si>
    <t>‭НКД  по облигациям РФ по АС в валюте‬</t>
  </si>
  <si>
    <t>‭НКД по облигациям прочих резидентов по ССчПСД в рублях‬</t>
  </si>
  <si>
    <t>‭НДД по ЦФА на денежные требования оцениваемые по АС в рублях‬</t>
  </si>
  <si>
    <t>‭НКД  по облигациям КО по АС в рублях‬</t>
  </si>
  <si>
    <t>‭НКД  по облигациям  прочих резидентов по АС в рублях‬</t>
  </si>
  <si>
    <t>Процентный расход</t>
  </si>
  <si>
    <t>Проценты по привлечению МБК от банков-нерезидентов</t>
  </si>
  <si>
    <t>‭Проценты по привлеченным МБК от банков - нерезидентов в рублях‬</t>
  </si>
  <si>
    <t>Расход</t>
  </si>
  <si>
    <t>‭Расходы от амортизации корректировок по ссудам ф/л резидентов‬</t>
  </si>
  <si>
    <t>‭Расходы от амортизации корректировок по ссудам ЮЛ резидентов  (негосуд.коммерч.орг-ям)‬</t>
  </si>
  <si>
    <t>Расходы по процентам (ФЛ)</t>
  </si>
  <si>
    <t>‭% по депозитам физ лиц -граж РФ в руб‬</t>
  </si>
  <si>
    <t>‭% по денежным ср-м на специальных карточных счетах  физ лиц -граж РФ в руб‬</t>
  </si>
  <si>
    <t>‭% по депозитам физ лиц -нерезидентов в рублях‬</t>
  </si>
  <si>
    <t>‭% по денежным ср-м на специальных карточных счетах  физ лиц- Нерезидентов в руб‬</t>
  </si>
  <si>
    <t>‭% по депозитам физ лиц-граж  РФ в инвал‬</t>
  </si>
  <si>
    <t>‭% по депозитам физ лиц -нерезидентов в инв вал‬</t>
  </si>
  <si>
    <t>Расходы по процентам (ЮЛ и ИП)</t>
  </si>
  <si>
    <t>‭Проценты по депозитам Юр.лиц - нерезидентов‬</t>
  </si>
  <si>
    <t>‭Проценты по депозитам Юр.лиц - негосударственных коммерческих организаций‬</t>
  </si>
  <si>
    <t>‭Проценты по депозитам ИП‬</t>
  </si>
  <si>
    <t>‭Проценты по депозитам Юр.лиц - негосударственных финансовых организаций‬</t>
  </si>
  <si>
    <t>2) Комиссии - нетто</t>
  </si>
  <si>
    <t>Комиссионный доход</t>
  </si>
  <si>
    <t>Индивидуальные предприниматели</t>
  </si>
  <si>
    <t>‭Комиссия за заверен.и оформл. документов для открытия и ведения банк.счетов взим.с ИП в руб. облаг. НДС‬</t>
  </si>
  <si>
    <t>‭Комиссия за перевод средств ИП, в руб. без НДС‬</t>
  </si>
  <si>
    <t>‭Комиссия за подключение, абон плата за интернет-банкинг ИНДИВ.ПРЕДПР. в рублях‬</t>
  </si>
  <si>
    <t>‭Комиссия за доп.услуги ИП (без НДС) в рублях‬</t>
  </si>
  <si>
    <t>‭Комиссия за открытие и ведение банк.счетов взим. с ИНДИВ.ПРЕДПРИН. в руб. не облаг. НДС‬</t>
  </si>
  <si>
    <t>‭Комиссия за кассовое обслуживание ИП в рублях‬</t>
  </si>
  <si>
    <t>‭Комиссия за перевод средств по СБП ИП, в руб. без НДС‬</t>
  </si>
  <si>
    <t>‭Комиссия за валютный контроль ИНДИВИД.ПРЕДПР. в рублях облаг.НДС‬</t>
  </si>
  <si>
    <t>‭Комиссия за перевод средств ИП, в ин.вал. без НДС‬</t>
  </si>
  <si>
    <t>‭Комиссия за пакет обслуживания ИНДИВИД. ПРЕДПР. ‬</t>
  </si>
  <si>
    <t>Интернет-эквайринг</t>
  </si>
  <si>
    <t>‭Комиссионные доходы от интернет-эквайринга‬</t>
  </si>
  <si>
    <t>Карта инвестора</t>
  </si>
  <si>
    <t>‭Комиссия за информационно-технологическое взаимодействие с ООО "ФРИДОМ ФИНАНС АРМЕНИЯ"‬</t>
  </si>
  <si>
    <t>‭Комиссия за информационно-технологическое взаимодействие с Турлов Фэмили Оффис Секьюритиз (ЗАО) ЛТД‬</t>
  </si>
  <si>
    <t>Пакеты обслуживания</t>
  </si>
  <si>
    <t>‭Комиссия за пакет обсуживания "ИНДИВИДУАЛЬНЫЙ" в руб.‬</t>
  </si>
  <si>
    <t>‭Комиссия за пакет обсуживания "ПРЕМИАЛЬНЫЙ" в руб.‬</t>
  </si>
  <si>
    <t>‭Комиссия за пакет обслуживания "PRIVATE BANKING" в руб.‬</t>
  </si>
  <si>
    <t>Платежные системы</t>
  </si>
  <si>
    <t>‭"Межбанковское вознаграждение по СБП"‬</t>
  </si>
  <si>
    <t>‭Расчеты с МПС MasterCard в руб‬</t>
  </si>
  <si>
    <t>‭Расчеты с МПС Visa в руб‬</t>
  </si>
  <si>
    <t>‭Расчеты с НПС МИР в руб‬</t>
  </si>
  <si>
    <t>По брокерским счетам</t>
  </si>
  <si>
    <t>‭Доходы по агентским договорам, облаг. НДС.‬</t>
  </si>
  <si>
    <t>‭Комиссия по специальным брок. счетам и по операциям клиентов в руб. без НДС (CLIENT)‬</t>
  </si>
  <si>
    <t>Прочие комиссии</t>
  </si>
  <si>
    <t>‭Комиссия по переводам через АО НКО "ЭЛЕКСНЕТ" в руб.‬</t>
  </si>
  <si>
    <t>‭Доходы от предоставления документов (подтверждений) SWIFT ЮЛ и ФЛ в инвал. облаг. НДС‬</t>
  </si>
  <si>
    <t>‭Доходы от предоставления документов (подтверждений) SWIFT ЮЛ и ФЛ в руб. облаг. НДС‬</t>
  </si>
  <si>
    <t>РКО ФЛ</t>
  </si>
  <si>
    <t>‭Комиссия за услугу по СМС-оповещению по картам физ.лиц. (без НДС)‬</t>
  </si>
  <si>
    <t>‭Комиссия за перевод средств со счетов ФИЗ.ЛИЦ через РНКО "Платежный центр" по сист."Город" в руб.‬</t>
  </si>
  <si>
    <t>‭Комиссия за кассовое обслуживание ФИЗИЧ.ЛИЦ в рублях‬</t>
  </si>
  <si>
    <t>‭Комиссия за доп. услуги ФИЗ.ЛИЦ  (с НДС) в руб.‬</t>
  </si>
  <si>
    <t>‭Комиссия за переводы с карты Цифра банка на карты других банков в руб.‬</t>
  </si>
  <si>
    <t>‭Комиссия за внесение наличных в чужих устройствах на карты ООО "Цифра Банк"‬</t>
  </si>
  <si>
    <t>‭Комиссия за переводы с карты Цифра банка на карты других банков в иностранной валюте‬</t>
  </si>
  <si>
    <t>‭Комиссия за операции безналичной купли-продажи валюты ФИЗ.ЛИЦ в ин.валюте‬</t>
  </si>
  <si>
    <t>‭Комиссия за перевод средств без откр.счета ФИЗ.ЛИЦ через РНКО "Платежный центр" по сист. "Золотая корона" в инвал.‬</t>
  </si>
  <si>
    <t>‭Комиссия за перевод средств по СБП со счетов ФИЗ.ЛИЦ в руб.‬</t>
  </si>
  <si>
    <t>‭Переводы с карты ООО «Цифра банк» на карты/счета других банков, на карты ООО «Цифра банк» с использованием механизма Р2Р в рублях.‬</t>
  </si>
  <si>
    <t>‭Комиссия за выдачу наличных за счет кредитных средств‬</t>
  </si>
  <si>
    <t>‭Комиссия за выдачу наличных денежных средств по операциям с POS терминалами в руб.‬</t>
  </si>
  <si>
    <t>‭Комиссия за переводы электронных денежных средств ФИЗ.ЛИЦ в рублях‬</t>
  </si>
  <si>
    <t>‭Комиссия за доп. услуги ФИЗ.ЛИЦ  (без НДС) в руб.‬</t>
  </si>
  <si>
    <t>‭Комиссия за перевод средств без откр.счета ФИЗ.ЛИЦ через РНКО "Платежный центр" по сист. "Город", "Золотая корона" в руб.‬</t>
  </si>
  <si>
    <t>‭Комиссия за доп. услуги ФИЗ.ЛИЦ  (без НДС) в ин.валюте‬</t>
  </si>
  <si>
    <t>‭Комиссия за переводы ФИЗ.ЛИЦ Турлов фэмили офис секьюритиз (Bro.acc.) в рублях‬</t>
  </si>
  <si>
    <t>‭Комиссия за операции безналичной купли-продажи валюты ФИЗ.ЛИЦ в рублях‬</t>
  </si>
  <si>
    <t>‭Комиссия за перевод средств со счетов ФИЗ.ЛИЦ в руб.‬</t>
  </si>
  <si>
    <t>‭Комиссия за переводы ФИЗ.ЛИЦ Фридом Финанс Армения ООО (Bro.acc.) в рублях‬</t>
  </si>
  <si>
    <t>‭Комиссия за переводы ФИЗ.ЛИЦ Турлов фэмили офис секьюритиз (Bro.acc.) в ин.валюте‬</t>
  </si>
  <si>
    <t>‭Комиссия за переводы ФИЗ.ЛИЦ Фридом Финанс Армения ООО (Bro.acc.) в ин.валюте.‬</t>
  </si>
  <si>
    <t>‭Комиссия за перевод средств со счетов физ.лиц принятых по сист. ДБО в ин.валюте‬</t>
  </si>
  <si>
    <t>‭Комиссия за переводы ФИЗ.ЛИЦ (Bro.acc.) в ин.валюте ‬</t>
  </si>
  <si>
    <t>‭Комиссия за расчетное обслуживание ФИЗ. ЛИЦ  в ин.валюте‬</t>
  </si>
  <si>
    <t>‭Комиссия за внешние переводы с карточных счетов на счета в другие кредитные организации в руб.‬</t>
  </si>
  <si>
    <t>‭Комиссия за перевод средств со счетов физ.лиц принятых по сист. ДБО в рублях‬</t>
  </si>
  <si>
    <t>‭Комиссия за переводы ФИЗ.ЛИЦ (Bro.acc.) в рублях ‬</t>
  </si>
  <si>
    <t>‭Комиссия за расчетное обслуживание ФИЗ. ЛИЦ в рублях‬</t>
  </si>
  <si>
    <t>‭Комиссия за взнос наличной ин.валюты через кассу Банка на счет клиента‬</t>
  </si>
  <si>
    <t>‭Комиссия за перевод средств со счетов ФИЗ.ЛИЦ в ин.валюте‬</t>
  </si>
  <si>
    <t>РКО ЮЛ</t>
  </si>
  <si>
    <t>‭Комиссия за ежемесячное обслуживание корпоративных карт в Руб.‬</t>
  </si>
  <si>
    <t>‭Комиссия за перевод средств по СБП ЮР.ЛИЦ, в руб. без НДС‬</t>
  </si>
  <si>
    <t>‭Комиссия за доп. услуги ЮР. ЛИЦ (с НДС) в руб.‬</t>
  </si>
  <si>
    <t>‭Комиссия за кассовое обслуживание ЮР. ЛИЦ в рублях‬</t>
  </si>
  <si>
    <t>‭Комиссия за подключение, абон плата за интернет-банкинг  ЮР. ЛИЦ в рублях‬</t>
  </si>
  <si>
    <t>‭Комиссия открытие и ведение банк.счетов взим.с ЮР.ЛИЦ в руб.не облаг. НДС‬</t>
  </si>
  <si>
    <t>‭Комиссия за заверен.и оформл. документов для открытия и ведения банк.счетов взим.с ЮР.ЛИЦ в руб. облаг. НДС‬</t>
  </si>
  <si>
    <t>‭Комиссия за открытие и ведение счетов кредитных организаций и банков-нерезидентов в рублях‬</t>
  </si>
  <si>
    <t>‭Комиссия за расчетное обслуживание кредитных организаций и банков-нерезидентов в рублях‬</t>
  </si>
  <si>
    <t>‭Комиссия за обслуживание договоров в рамках проекта «КЛУБ_500» в руб.не облаг. НДС‬</t>
  </si>
  <si>
    <t>‭Комиссия за открытие и ведение счетов кредитных организаций и банков-нерезидентов в ин.валюте‬</t>
  </si>
  <si>
    <t>‭Комиссия за пакет услуг ЮР. ЛИЦ (Авансовая)‬</t>
  </si>
  <si>
    <t>‭Комиссия за расчетное обслуживание ЮРИД.ЛИЦ в рублях‬</t>
  </si>
  <si>
    <t>‭Комиссия за доп. услуги ЮР. ЛИЦ (без НДС) в ин.валюте‬</t>
  </si>
  <si>
    <t>‭Комиссия за пакет обслуживания ЮР. ЛИЦ.‬</t>
  </si>
  <si>
    <t>‭Комиссия за валютный контроль ЮР.ЛИЦ в рублях облаг.НДС‬</t>
  </si>
  <si>
    <t>‭Комиссия за перевод средств ЮР.ЛИЦ, инв. вал‬</t>
  </si>
  <si>
    <t>‭Комиссия за доп. услуги ЮР. ЛИЦ (без НДС) в руб.‬</t>
  </si>
  <si>
    <t>‭Комиссия за перевод средств ЮР.ЛИЦ, в руб. без НДС‬</t>
  </si>
  <si>
    <t>Комиссионный расход</t>
  </si>
  <si>
    <t>Кешбэк</t>
  </si>
  <si>
    <t>‭Расходы по выплате Сashback‬</t>
  </si>
  <si>
    <t>Вознаграждение по агентским договорам</t>
  </si>
  <si>
    <t>‭Вознаграждение по агентским договорам, без НДС прошлых лет‬</t>
  </si>
  <si>
    <t>Клиент выставил счет с запозданием (за декабрь 2024 в 2025 году) начисления сделано не было, расход был отражен в дате, когда поступил инвойс</t>
  </si>
  <si>
    <t>‭Вознаграждение по агентским договорам, без НДС. ‬</t>
  </si>
  <si>
    <t xml:space="preserve"> Агентское вознаграждение с компанией  Араз Кюри ,это комиссиия по Договору от 01.02.2023  А кор счет того Банка с которого считается вознаграждение был открыт в  сентябре 2022 года. ( соответственно до момента переподписания договора с распостранением его условияй с 01.09.2022 Расходы не включались в Уменьшение НОБ на текущий момент они включены. </t>
  </si>
  <si>
    <t>‭Вознаграждение по агентским договорам по возврату просроченной задолженности, без НДС‬</t>
  </si>
  <si>
    <t>‭Вознаграждение по агентским договорам, без НДС.‬</t>
  </si>
  <si>
    <t>‭Комиссионные расходы от интернет-эквайринга‬</t>
  </si>
  <si>
    <t>Комиссия за биржевое обслуживание</t>
  </si>
  <si>
    <t>‭Комиссия Московской биржи‬</t>
  </si>
  <si>
    <t>Комиссия за переводы</t>
  </si>
  <si>
    <t>‭АО «ФРИДОМ БАНК КАЗАХСТАН» Комиссия за переводы в рублях‬</t>
  </si>
  <si>
    <t>‭Расходы по полученным гарантиям.‬</t>
  </si>
  <si>
    <t>‭Услуги ГУ Банка России по переводам ден.ср.ч/з корсчет‬</t>
  </si>
  <si>
    <t>‭Межбанковское вознаграждение по СБП, уплачиваемое другим банкам‬</t>
  </si>
  <si>
    <t>Комиссия за РКО</t>
  </si>
  <si>
    <t>‭Комиссия банков-корреспондентов за переводы в ин.валюте‬</t>
  </si>
  <si>
    <t>‭ПАО "Сбербанк" Комиссия за РКО в рублях‬</t>
  </si>
  <si>
    <t>‭"КУБ" (АО) Комиссия за переводы‬</t>
  </si>
  <si>
    <t>‭Прочие комиссии третьих банков по переводам денежных средств в ин.валюте‬</t>
  </si>
  <si>
    <t>‭Комиссия банков-корреспондентов за открытие и ведение счетов. В рублях‬</t>
  </si>
  <si>
    <t>‭Комиссия банков-корреспондентов за открытие и ведение счетов. В ин.валюте‬</t>
  </si>
  <si>
    <t>‭Комиссия банков-корреспондентов за переводы в рублях‬</t>
  </si>
  <si>
    <t>8) Прочие расходы</t>
  </si>
  <si>
    <t>‭РНКО " Платежный центр" ООО комиссии за РКО в руб.‬</t>
  </si>
  <si>
    <t>‭Прочие комисси ПС "Золотая корона"‬</t>
  </si>
  <si>
    <t>‭Расчеты с НПС МИР‬</t>
  </si>
  <si>
    <t>‭Прочие комиссии НПС МИР‬</t>
  </si>
  <si>
    <t>‭Прочие комиссии банков-корреспондентов в ин. валюте‬</t>
  </si>
  <si>
    <t>‭Расходы по оплате вознаграждения НКО "ЭЛЕКСНЕТ" (АО) в руб.‬</t>
  </si>
  <si>
    <t>3) FX</t>
  </si>
  <si>
    <t>Безнал</t>
  </si>
  <si>
    <t>Доход безнал</t>
  </si>
  <si>
    <t>AED</t>
  </si>
  <si>
    <t>CNY</t>
  </si>
  <si>
    <t>EUR</t>
  </si>
  <si>
    <t>KZT</t>
  </si>
  <si>
    <t>TRY</t>
  </si>
  <si>
    <t>USD</t>
  </si>
  <si>
    <t>INR</t>
  </si>
  <si>
    <t>AMD</t>
  </si>
  <si>
    <t>AZN</t>
  </si>
  <si>
    <t>Расход безнал</t>
  </si>
  <si>
    <t>Наличные</t>
  </si>
  <si>
    <t>Доход налич</t>
  </si>
  <si>
    <t>THB</t>
  </si>
  <si>
    <t>Расход налич</t>
  </si>
  <si>
    <t>Переоценка валют</t>
  </si>
  <si>
    <t>Переоценка валют (нетто)</t>
  </si>
  <si>
    <t>Переоценка</t>
  </si>
  <si>
    <t>4) ЧТД</t>
  </si>
  <si>
    <t>Доходы от операций с ЦБ</t>
  </si>
  <si>
    <t>‭Доходы от увеличения амортизированной стоимости облигаций субъектов РФ и органов местного самоуправления оцениваемых по амортизированной  стоимости‬</t>
  </si>
  <si>
    <t>‭Доход от операций по облигациям прочих резидентов по ССчПСД  в рублях‬</t>
  </si>
  <si>
    <t>‭Доходы от увеличения амортизированной стоимости облигаций прочих нерезидентов‬</t>
  </si>
  <si>
    <t>‭Доходы от увеличения амортизированной стоимости облигаций кредитных организаций‬</t>
  </si>
  <si>
    <t>‭Доходы от увелич.стоим. облиг-й Российской Федерации (504)‬</t>
  </si>
  <si>
    <t>‭Доходы от увеличения амортизированной стоимости облигаций прочих резидентов‬</t>
  </si>
  <si>
    <t>‭Доход от операций по облигациям прочих резидентов по АС в рублях‬</t>
  </si>
  <si>
    <t>Переоценка ЧТД</t>
  </si>
  <si>
    <t>Доходы от переоценки ЦБ</t>
  </si>
  <si>
    <t>‭Положительная переоценка долевых ценных бумаг по ССчП/У прочих резидентов ‬</t>
  </si>
  <si>
    <t>Расходы по переоценке ЦБ</t>
  </si>
  <si>
    <t>‭Отрицательная переоценка долевых ценных бумаг по ССчП/У прочих резидентов‬</t>
  </si>
  <si>
    <t>Расходы от операций с ЦБ</t>
  </si>
  <si>
    <t>Премия по облигациям</t>
  </si>
  <si>
    <t>‭Премия по облигациям РФ  по АС в валюте‬</t>
  </si>
  <si>
    <t>‭Премия по облигациям прочих резидентов  по АС в рублях‬</t>
  </si>
  <si>
    <t>‭Премия по облигациям субъектов РФ  по АС в рублях‬</t>
  </si>
  <si>
    <t>‭Премия по облигациям КО  по АС в рублях‬</t>
  </si>
  <si>
    <t>Расходы по опционам по ЦБ</t>
  </si>
  <si>
    <t>‭Расходы от уменьшения амортизированной стоимости облигаций прочих резидентов‬</t>
  </si>
  <si>
    <t>‭Расходы от уменьшения амортизированной стоимости облигаций кредитных организаций‬</t>
  </si>
  <si>
    <t>‭Расходы от уменьшения амортизированной стоимости облигаций прочих нерезидентов‬</t>
  </si>
  <si>
    <t>‭Расходы от уменьшения амортизированной стоимости облигаций по облигациям субъектов Российской Федерации и органов местного самоуправления оцениваемых по амортизированной стоимости‬</t>
  </si>
  <si>
    <t>‭Расходы от операций  по облигациям прочих резидентов по ССчПСД  в рублях‬</t>
  </si>
  <si>
    <t>‭Расходы от операций по облигациям прочих резидентов по АС в рублях‬</t>
  </si>
  <si>
    <t>5) Доходы от участия в капитале</t>
  </si>
  <si>
    <t>Доходы от участия в капитале</t>
  </si>
  <si>
    <t/>
  </si>
  <si>
    <t>‭Дивиденды от вложений в акции организаций - резидентов‬</t>
  </si>
  <si>
    <t>6) Прочие доходы</t>
  </si>
  <si>
    <t>Прочие доходы</t>
  </si>
  <si>
    <t>‭Прочие доходы облагаемые НДС‬</t>
  </si>
  <si>
    <t>‭Штраф за технический офердрафт‬</t>
  </si>
  <si>
    <t>‭Прочие доходы по банковским картам (не облаг. НДС)‬</t>
  </si>
  <si>
    <t>‭Проценты по депозитам Индивидуальных Предпринимателей‬</t>
  </si>
  <si>
    <t>‭Неустойка по кредитам физ.лиц от суммы просроченного платежа‬</t>
  </si>
  <si>
    <t>‭Доходы от курсовой разницы‬</t>
  </si>
  <si>
    <t>‭Доходы от сдачи в аренду имущества Банка (облаг.НДС)‬</t>
  </si>
  <si>
    <t>‭Доходы от предоставления в аренду индивид.банковских сейфов (облаг.НДС)‬</t>
  </si>
  <si>
    <t>‭Доходы от сдачи в субаренду помещений (облаг.НДС)‬</t>
  </si>
  <si>
    <t>7) Нетто эффект резервов на ОПУ</t>
  </si>
  <si>
    <t>Восстановление резервов</t>
  </si>
  <si>
    <t>‭РВП 611-П Доходы от восстановления резервов по брокерским счетам‬</t>
  </si>
  <si>
    <t>Резервы</t>
  </si>
  <si>
    <t>‭РВП по 611-П Восстановление резерва на технгический овердрафт физ. (47425) ‬</t>
  </si>
  <si>
    <t>Согласно ст 292 НК РФ бан имеет право признавать только Резерв поод ссудную задолженность по 590-П</t>
  </si>
  <si>
    <t>‭РВП по 611-П Доходы от восст.резервов по лимитам кредитных линий предоставленных физ.лицам (Овердрафт к ПК) ‬</t>
  </si>
  <si>
    <t>‭РВП по 611-П по другим активам и прочим операциям  (47425)‬</t>
  </si>
  <si>
    <t>‭Доходы от восстановления оценочных резервов по облигациям прочих нерезидентов‬</t>
  </si>
  <si>
    <t>‭РВПС по 590-П Доходы от восст.резервов по лимитам кредитных линий предоставленных физ.лицам (Овердрафт к ПК)‬</t>
  </si>
  <si>
    <t>‭Доходы от восстановления оценочных резервов субъектов Российской Федерации и органов местного самоуправления)‬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</si>
  <si>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убытки‬</t>
  </si>
  <si>
    <t>‭Доходы от восст.оцен. резервов по лимитам кредитных линий предоставленных физ.лицам (Овердрафт к ПК)‬</t>
  </si>
  <si>
    <t>‭Доходы, увеличивающие операционные доходы, на разницу между резервами на возможные потери и оценочными резервами под ожидаемые кредитные убытки (ФЛ_Овердрафт к ПК)‬</t>
  </si>
  <si>
    <t>‭Доходы от восстановления оценочных резервов по облигациям кредитных организаций кредитных организаций‬</t>
  </si>
  <si>
    <t>‭Доходы от восстановления оценочных резервов по ЦФА  на денежные требования‬</t>
  </si>
  <si>
    <t>‭РВП по 611-П Доходы от восстановления РВП по лимитам кредитных линий предоставленных физ.лицам (Овердрафт к ПК)‬</t>
  </si>
  <si>
    <t>‭РВП по 611-П Доходы от восст.резервов по процентам по предоставл.кредитам юр.лицам (негос. фин. орг-циям)‬</t>
  </si>
  <si>
    <t>‭РВП по 611-П Восстановление резерва по вложениям в ЦФА на денежные требования оцениваемые по амортизированной стоимости.‬</t>
  </si>
  <si>
    <t>‭РВП по 611-П по вложениям в долговый ЦБ прочих нерезидентов оцениваемых по амортизированной стоимости‬</t>
  </si>
  <si>
    <t>‭РВП по 611-П Доходы от восст.резервов по процентам по предоставл.кредитам юр.лицам (негосударственным коммерческим организациям)‬</t>
  </si>
  <si>
    <t>‭РВПС по 590-П Доходы от восст.резервов по предоставл.кредитам юр.лицам (негос. фин. орг-циям)‬</t>
  </si>
  <si>
    <t>‭РВП по 611-п Доходы от восст.резервов по процентам по МБК‬</t>
  </si>
  <si>
    <t>‭Доходы от создания оценочных резервов по кредитам юр. лиц резидентов (негос. фин. орг-циям)‬</t>
  </si>
  <si>
    <t>‭Доходы от восстановления  оценочных резервов по кредитам физических лиц резидентов‬</t>
  </si>
  <si>
    <t>‭Доходы от восстановления оценочных резервов по облигациям прочих резидентов‬</t>
  </si>
  <si>
    <t>‭РВПС по 590-П Доходы от восст.резервов по предоставл.кредитам юр.лицам‬</t>
  </si>
  <si>
    <t>‭РВП по 611-п Доходы от восст.резервов по % кредит.физическим лицам ‬</t>
  </si>
  <si>
    <t>‭РВП по 611-П Восстановление резерва по вложениям в долговые ЦБ прочих резидентов оцениваемых по СС через ПСД ‬</t>
  </si>
  <si>
    <t>‭РВП по 611-П Восстановление резерва по вложениям в долговые ЦБ прочих резидентов оцениваемых  по амортизированной стоимости ‬</t>
  </si>
  <si>
    <t>‭РВП по 611-П Доходы от созданию РВП по кредитным линиям предоставленной юр.лицам‬</t>
  </si>
  <si>
    <t>‭РВПС 590-п Доходы от восст.резервов по кредит.физическим лицам‬</t>
  </si>
  <si>
    <t>‭РВП по 611-П по остаткам на корсчетах   в банках-нерезидентах ‬</t>
  </si>
  <si>
    <t>‭Доходы от создания оценочных резервов по кредитам юр. лиц резидентов‬</t>
  </si>
  <si>
    <t>‭РВП по 611-П по внутрихозяйственным операциям  (счет 60324)‬</t>
  </si>
  <si>
    <t>‭РВП по 611-П по остаткам на корсчетах ‬</t>
  </si>
  <si>
    <t>‭РВПС 590-п Доходы от восст.резервов по МБК‬</t>
  </si>
  <si>
    <t>‭РВП по 611-П Восстановление резерва Денежные ср-ва в пути. (47425)‬</t>
  </si>
  <si>
    <t>Начисление резервов</t>
  </si>
  <si>
    <t>‭РВП по 611-П Создание резерва Денежные ср-ва в пути. (47425)‬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</si>
  <si>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убытки‬</t>
  </si>
  <si>
    <t>‭Расходы от создания оценочных резервов по МБК‬</t>
  </si>
  <si>
    <t>‭РВПС 590-п Расходы от создания резервов по МБК‬</t>
  </si>
  <si>
    <t>‭РВП по 611-П  по другим активам и прочим операциям  (47425)‬</t>
  </si>
  <si>
    <t>‭РВП по 611-П  по остаткам на корсчетах ‬</t>
  </si>
  <si>
    <t>‭РВП по 611-П Создание резерва по вложениям в долговые ЦБ прочих резидентов оцениваемых по СС через ПСД ‬</t>
  </si>
  <si>
    <t>‭РВП по 611-П Расходы от создания резервов по процентным доходам по предоставл.кредитам юр.лицам‬</t>
  </si>
  <si>
    <t>‭РВП по 611-П Расходы от создания РВП по лимитам кредитных линий предоставленных юр.лицам‬</t>
  </si>
  <si>
    <t>‭РВП по 611-п Расходы от создания.резервов по не урегулированным спорам и не завершенным на отчетную дату судебным разбирательствам ‬</t>
  </si>
  <si>
    <t>‭Расходы от создания оценочных резервов по кредитам физических лиц резидентов‬</t>
  </si>
  <si>
    <t>‭РВП по 611-П по вложениям в долговый ЦБ прочих резидентов оцениваемых  по амортизированной стоимости‬</t>
  </si>
  <si>
    <t>‭РВП по 611-П по % кредит.физ.лиц. ‬</t>
  </si>
  <si>
    <t>‭РВПС по 590-П по  кредит.физ.лиц.‬</t>
  </si>
  <si>
    <t>‭Расходы от создания оценочных резервов по облигациям прочих  резидентов‬</t>
  </si>
  <si>
    <t>‭Расходы от создания оценочных резервов по облигациям прочих резидентов‬</t>
  </si>
  <si>
    <t>‭Расходы от создания оценочных резервов по кредитам юр. лиц резидентов (негос. фин. орг-циям)‬</t>
  </si>
  <si>
    <t>‭РВПС по 590-П Расходы от создания РВПС по предоставл.кредитам юр.лицам‬</t>
  </si>
  <si>
    <t>‭РВП 611-п Расходы от создания резервов по процентам по МБК‬</t>
  </si>
  <si>
    <t>‭Расходы от создания оценочных резервов по кредитам юр. лиц резидентов‬</t>
  </si>
  <si>
    <t>‭РВПС по 590-П Расходы от создания РВПС по предоставл.кредитам юр.лицам (негос. фин. орг-циям)‬</t>
  </si>
  <si>
    <t>‭РВП по 611-П Создание резерва по вложениям в ЦФА на денежные требования оцениваемые по амортизированной стоимости.‬</t>
  </si>
  <si>
    <t>‭РВП по 611-П Расходы от создания резервов по процентным доходам по предоставл.кредитам юр.лицам (негос. фин. орг-циям)‬</t>
  </si>
  <si>
    <t>‭РВПС по 590-П Расходы от создания РВПС по лимитам кредитных линий предоставленных физ.лицам (Овердрафт к ПК)‬</t>
  </si>
  <si>
    <t>‭РВП по 611-П Расходы от создания РВП по лимитам кредитных линий предоставленных физ.лицам (Овердрафт к ПК)‬</t>
  </si>
  <si>
    <t>‭Расходы от создания оценочных резервов по облигациям кредитных организаций‬</t>
  </si>
  <si>
    <t>‭Расходы от создания оцен. резервов по лимитам кредитных линий предоставленных физ.лицам (Овердрафт к ПК)‬</t>
  </si>
  <si>
    <t>‭РВП по 611-П Создание резерва на технический овердрафт физ. (47425) ‬</t>
  </si>
  <si>
    <t>‭Расходы, увеличивающие операционные расходы, на разницу между резервами на возможные потери и оценочными резервами под ожидаемые кредитные убытки (ФЛ_Овердрафт к ПК)‬</t>
  </si>
  <si>
    <t>‭Расходы от создания оценочных резервов по облигациям прочих нерезидентов‬</t>
  </si>
  <si>
    <t>‭РВП по 611-П по остаткам на счетах незавершенных расчетов в банках-резидентах ‬</t>
  </si>
  <si>
    <t>‭РВП по 611-П по вложениям в долговый ЦБ субъектов РФ и органов местного самоуправления оцениваемых по амортизированной стоимости‬</t>
  </si>
  <si>
    <t>‭Расходы от создания оценочных резервов по облигациям субъектов Российской Федерации‬</t>
  </si>
  <si>
    <t>‭РВП по 611-П Расходы от создания резервов по процентным доходам по лимитам кредитных линий предоставленных физ.лицам (Овердрафт к ПК) ‬</t>
  </si>
  <si>
    <t>‭Прочие расходы арендатора по договорам аренды‬</t>
  </si>
  <si>
    <t>Прочие расходы на возмещение клиентам</t>
  </si>
  <si>
    <t>‭Комиссии клиентам, за возвращенные переводы‬</t>
  </si>
  <si>
    <t>‭Прочие расходы на возмещение клиентам  в руб.‬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</si>
  <si>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</si>
  <si>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‭Прочие расходы на возмещение клиентам  в ин.валюте.‬</t>
  </si>
  <si>
    <t xml:space="preserve"> В рамках тарифов Банком предусмотрены различные комисии , в т.ч. Комиссии по валютному контролю и за перевод.  Согласно тарифов Банк удерживает эти комиссии и уплачивает налоги. Потом к нам приходят клиенты и пишут жалобы , что они не правильно поняли, не знали что так много И тд и ТП, И Банк возвращает им комиссии за свой счет так как лоялен к клиентам в КУАП так и прописано  .( так как если бы это была ошибка Банка , то тогда была бы исправительная и сторнировка доходов .</t>
  </si>
  <si>
    <t>9) Операционные расходы</t>
  </si>
  <si>
    <t>Амортизация</t>
  </si>
  <si>
    <t>‭Амортизация по основным средствам‬</t>
  </si>
  <si>
    <t>‭Амортизация по нематериальным активам‬</t>
  </si>
  <si>
    <t>‭Амортизация по основным средствам ‬</t>
  </si>
  <si>
    <t>Амотризация не амортизируемого имущества по НК (картины)</t>
  </si>
  <si>
    <t>АХР</t>
  </si>
  <si>
    <t>Factura</t>
  </si>
  <si>
    <t>‭Услуги сервиса Factura.ru прошлых лет‬</t>
  </si>
  <si>
    <t>не-ИТ</t>
  </si>
  <si>
    <t>‭Прочие расходы прошлых лет‬</t>
  </si>
  <si>
    <t>Лояльность</t>
  </si>
  <si>
    <t>‭Расходы на информ.-сервисные услуги партнеров по операциям клиентов, держателей карты ООО "Цифра банк"‬</t>
  </si>
  <si>
    <t>ИТ</t>
  </si>
  <si>
    <t>‭Услуги ЦОД, Дата-Центра и облачных хранилищ‬</t>
  </si>
  <si>
    <t>‭Тех.обслуживание‬</t>
  </si>
  <si>
    <t>‭Услуги интернет связи‬</t>
  </si>
  <si>
    <t>‭Услуги информационных систем‬</t>
  </si>
  <si>
    <t>‭Оплата услуг связи S.W.I.F.T.‬</t>
  </si>
  <si>
    <t>‭Подписка на электронные издания‬</t>
  </si>
  <si>
    <t>НДС и госпошлины</t>
  </si>
  <si>
    <t>‭НДС, учитываемый в составе расходов‬</t>
  </si>
  <si>
    <t>ИТ (НМА)</t>
  </si>
  <si>
    <t>‭Сопровождение программных продуктов прошлых лет‬</t>
  </si>
  <si>
    <t>‭НДС не учит. в составе расходов ‬</t>
  </si>
  <si>
    <t>НДС по расходом не производственного назначения</t>
  </si>
  <si>
    <t>‭Госпошлина за нотариальные действия‬</t>
  </si>
  <si>
    <t>‭Расходы ежемесячные за право пользования объектами интеллектуальной деятельности прошлых лет‬</t>
  </si>
  <si>
    <t>‭Прочие расходы‬</t>
  </si>
  <si>
    <t>Прочие расходы включают в порядке убывания - Аудит сетевой ИТ-инфраструктуры,  Доставка Клиентских пакето, Установка рекламных конструкций)</t>
  </si>
  <si>
    <t>‭Расходы по приобретению ТМЦ‬</t>
  </si>
  <si>
    <t>‭Расходы на содержание оборудования‬</t>
  </si>
  <si>
    <t>‭НДС, учитываемый в составе расходов Прошлых лет‬</t>
  </si>
  <si>
    <t>‭Расходы по содерж.помещения‬</t>
  </si>
  <si>
    <t>‭Расходы по приобретению ТМЦ ‬</t>
  </si>
  <si>
    <t>кофе, конфеты, посуда , новогодние украшения, тмц для растений , вазы, молоко, чай, сахар, сок, шоколад, печенье , сливки , аромодифузер.</t>
  </si>
  <si>
    <t>‭Расходы по приобретению ТМЦ</t>
  </si>
  <si>
    <t>Внесистемно (т.е. в отдельных регистрах) учитываются ТМЦ, не относимые к ОС. Они не подлежат амортизации, а списываются на расходы сразу при вводе в эксплуатацию</t>
  </si>
  <si>
    <t>‭Расходы по инкассации‬</t>
  </si>
  <si>
    <t>‭Расходы по ремонту оборудования. мебели и инвентаря‬</t>
  </si>
  <si>
    <t>‭Расходы на подбор персонала‬</t>
  </si>
  <si>
    <t>‭Расходы на рекламу ненормируемые‬</t>
  </si>
  <si>
    <t>‭Телефонная связь‬</t>
  </si>
  <si>
    <t>‭Прочие расходы ‬</t>
  </si>
  <si>
    <t>п15 ст 270 НК членские взносы в различные Ассоциации , а также организации праздника 8 марта и 23 февраля.</t>
  </si>
  <si>
    <t>‭Расходы на аренду помещения‬</t>
  </si>
  <si>
    <t>‭Страхования путешествующих держателей банковских карт (Прошлых лет)‬</t>
  </si>
  <si>
    <t>‭Добровольное страхование автотранспорта (КАСКО)‬</t>
  </si>
  <si>
    <t>‭Информационно-консультационные услуги‬</t>
  </si>
  <si>
    <t>‭Охрана‬</t>
  </si>
  <si>
    <t>‭Прочие расходы арендатора по договорам аренды прошлых лет‬</t>
  </si>
  <si>
    <t>‭Страхование денежной наличности, жизни "летучих" кассиров‬</t>
  </si>
  <si>
    <t>‭Расходы на услуги СМС-информирования‬</t>
  </si>
  <si>
    <t>‭Тех.обслуживание прошлых лет‬</t>
  </si>
  <si>
    <t>‭Представительские расходы‬</t>
  </si>
  <si>
    <t>‭Расходы на аренду оборудования‬</t>
  </si>
  <si>
    <t>‭Нотариальные расходы УПТХ‬</t>
  </si>
  <si>
    <t>‭Расходы от курсовой разницы‬</t>
  </si>
  <si>
    <t>‭Информационно-консультационные расходы на семинарах‬</t>
  </si>
  <si>
    <t>‭Обязательное страхование автотранспорта (ОСАГО)‬</t>
  </si>
  <si>
    <t>‭Страхование арендованного имущества ‬</t>
  </si>
  <si>
    <t>До 01.07.2024 года расходы по страхованию гражданской ответственности не уменьшали НОБ ( сейчас уменьшают)</t>
  </si>
  <si>
    <t>‭Почтовые расходы‬</t>
  </si>
  <si>
    <t>‭Прочие расходы прошлых лет ‬</t>
  </si>
  <si>
    <t xml:space="preserve"> расходы прошлых лет , это расходы акты по которым датированы прошлым годом., учитываюся отдельной строкой в налоговой базе по налогу на прибыль </t>
  </si>
  <si>
    <t>‭Расходы на содержание служебных автомобилей‬</t>
  </si>
  <si>
    <t>Служебные командировки</t>
  </si>
  <si>
    <t>‭Служебные командировки‬</t>
  </si>
  <si>
    <t>Оплата труда</t>
  </si>
  <si>
    <t>‭Заработная плата штатного состава‬</t>
  </si>
  <si>
    <t>‭Страховые взносы с 01.01.23 по краткосрочным выплатам в течении года (Текущие)‬</t>
  </si>
  <si>
    <t>‭Премия (НФЧ по Политике) ‬</t>
  </si>
  <si>
    <t>‭Предстоящие выплаты в течении 12 месяцев ‬</t>
  </si>
  <si>
    <t xml:space="preserve"> в рамках БУ  Банк формирует резерв под отпуска с учётом всех налогов, НК не содержит обязанности вести данный резерв.</t>
  </si>
  <si>
    <t>‭Премия‬</t>
  </si>
  <si>
    <t>‭Страховые взносы с 01.01.23 по предстоящим выплатам в течении 12 месяцев  (Отложенные) ‬</t>
  </si>
  <si>
    <t>в рамках БУ  Банк формирует резерв под отпуска с учётом всех налогов, НК не содержит обязанности вести данный резерв.</t>
  </si>
  <si>
    <t>‭Расходы по долгосрочной отложенной части вознаграждения работникам  (Отложенные выплаты по Политике оплаты труда)‬</t>
  </si>
  <si>
    <t xml:space="preserve"> отложенное долгосрочное вознаграждение по выплате премии за 2024 в по истечении 3х лет, не может быть учтено в налоге на прибыль до момента решения о выплате</t>
  </si>
  <si>
    <t>‭Отпускные‬</t>
  </si>
  <si>
    <t>‭Cтраховые взносы на долгосрочную отложенную часть вознаграждения работникам  (Отложенные выплаты по Политике оплаты труда)‬</t>
  </si>
  <si>
    <t>‭Оплата по среднему заработку при командировке‬</t>
  </si>
  <si>
    <t>‭Компенсация за отпуск при увольнении‬</t>
  </si>
  <si>
    <t>‭Взносы в ФСС травматизм по выплатам в течении года (Текущие)‬</t>
  </si>
  <si>
    <t>‭Прочие компенсационные выплаты при увольнении‬</t>
  </si>
  <si>
    <t>‭Пособие за первые 3 дня по б/л за счет работодателя‬</t>
  </si>
  <si>
    <t>‭Доплата до фактического заработка в период нахождения в командировке‬</t>
  </si>
  <si>
    <t>‭Расходы на ДМС сотрудников‬</t>
  </si>
  <si>
    <t>‭Компенсация за дополнительный отпуск‬</t>
  </si>
  <si>
    <t>‭Взносы в ФСС травм по предстоящим выплатам в течении 12  (Отложенные) ‬</t>
  </si>
  <si>
    <t>‭Расходы на подготовку кадров‬</t>
  </si>
  <si>
    <t>‭Материальная помощь ‬</t>
  </si>
  <si>
    <t>Для налога на прибыль любую матпомощь в расходах не учитывают. Исключение - матпомощь к отпуску и матпомощь при мобилизации (ст. 270 НК РФ).</t>
  </si>
  <si>
    <t>‭Взносы в ФСС травм на долгосрочную отложенную часть вознаграждения работникам  (Отложенные выплаты по Политике оплаты труда)‬</t>
  </si>
  <si>
    <t>‭Доплата за проезд и телефон‬</t>
  </si>
  <si>
    <t>‭Оплата по среднему заработкe (донорские дни, доп.выходные)‬</t>
  </si>
  <si>
    <t>‭Компенсация услуг связи‬</t>
  </si>
  <si>
    <t>Налог на прибыль</t>
  </si>
  <si>
    <t>‭Налог на прибыль в бюджет субъекта текущий‬</t>
  </si>
  <si>
    <t>Налог</t>
  </si>
  <si>
    <t>‭Налог на прибыль в Федеральный бюджет текущий‬</t>
  </si>
  <si>
    <t>‭Налог на прибыль ДО "КАЗАНЬ" в бюджет субъекта текущий‬</t>
  </si>
  <si>
    <t>‭Налог на прибыль ДО "ЕКАТЕРИНБУРГ" в бюджет субъекта текущий‬</t>
  </si>
  <si>
    <t>‭Налог на прибыль ДО "САНКТ-ПЕТЕРБУРГ" в бюджет субъекта текущий‬</t>
  </si>
  <si>
    <t>‭Налог на прибыль ДО "ИРКУТСК" в бюджет субъекта текущий‬</t>
  </si>
  <si>
    <t>‭Налог на прибыль ДО "ТУЛА" в бюджет субъекта текущий‬</t>
  </si>
  <si>
    <t>‭Налог на прибыль ДО "СТАВРОПОЛЬ" в бюджет субъекта текущий‬</t>
  </si>
  <si>
    <t>‭Налог на прибыль ДО "САМАРА" в бюджет субъекта текущий‬</t>
  </si>
  <si>
    <t>‭Налог на прибыль ДО "РЯЗАНЬ" в бюджет субъекта текущий‬</t>
  </si>
  <si>
    <t>‭Налог на прибыль ДО "ТВЕРЬ" в бюджет субъекта текущий‬</t>
  </si>
  <si>
    <t>‭Налог на прибыль ДО "БЕЛГОРОД" в бюджет субъекта текущий‬</t>
  </si>
  <si>
    <t>‭Налог на прибыль ДО "ИЖЕВСК" в бюджет субъекта текущий‬</t>
  </si>
  <si>
    <t>‭Налог на прибыль ДО "ОРЕНБУРГ" в бюджет субъекта текущий‬</t>
  </si>
  <si>
    <t>‭Налог на прибыль ДО "СОЧИ" в бюджет субъекта текущий‬</t>
  </si>
  <si>
    <t>‭Налог на прибыль ДО "НОВОСИБИРСК" в бюджет субъекта текущий‬</t>
  </si>
  <si>
    <t>‭Налог на прибыль ДО "ЧЕРЕПОВЕЦ" в бюджет субъекта текущий‬</t>
  </si>
  <si>
    <t>‭Налог на прибыль ДО "ЯРОСЛАВЛЬ" в бюджет субъекта текущий‬</t>
  </si>
  <si>
    <t>‭Налог на прибыль ДО "КЕМЕРОВО" в бюджет субъекта текущий‬</t>
  </si>
  <si>
    <t>‭Налог на прибыль ДО "НИЖНИЙ НОВГОРОД" в бюджет субъекта текущий‬</t>
  </si>
  <si>
    <t>‭Налог на прибыль ДО "ВОРОНЕЖ" в бюджет субъекта текущий ДО "ВОРОНЕЖ"‬</t>
  </si>
  <si>
    <t>‭Налог на прибыль ДО "БАРНАУЛ" в бюджет субъекта текущий‬</t>
  </si>
  <si>
    <t>‭Налог на прибыль ДО "АРХАНГЕЛЬСК" в бюджет субъекта текущий‬</t>
  </si>
  <si>
    <t>‭Налог на прибыль ДО "РОСТОВ-НА-ДОНУ" в бюджет субъекта текущий‬</t>
  </si>
  <si>
    <t>‭Налог на прибыль ДО "НАБЕРЕЖНЫЕ ЧЕЛНЫ" в бюджет субъекта текущий‬</t>
  </si>
  <si>
    <t>‭Налог на прибыль ДО "ВЛАДИВОСТОК" в бюджет субъекта текущий‬</t>
  </si>
  <si>
    <t>‭Налог на прибыль ДО "КАЛИНИНГРАД" в бюджет субъекта текущий ДО "КАЛИНИНГРАД"‬</t>
  </si>
  <si>
    <t>‭Налог на прибыль ДО "ЧЕЛЯБИНСК" в бюджет субъекта текущий‬</t>
  </si>
  <si>
    <t>‭Налог на прибыль ДО "САРАТОВ" в бюджет субъекта текущий‬</t>
  </si>
  <si>
    <t>‭Налог на прибыль ДО "ПЕРМЬ" в бюджет субъекта текущий‬</t>
  </si>
  <si>
    <t>‭Налог на прибыль ДО "ВОЛГОГРАД" в бюджет субъекта текущий‬</t>
  </si>
  <si>
    <t>‭Налог на прибыль ДО "УФА" в бюджет субъекта текущий ДО "УФА"‬</t>
  </si>
  <si>
    <t>‭Налог на прибыль ДО "ОМСК" в бюджет субъекта текущий‬</t>
  </si>
  <si>
    <t>‭Налог на прибыль ДО "ТЮМЕНЬ" в бюджет субъекта текущий‬</t>
  </si>
  <si>
    <t>‭Налог на прибыль ДО "ЛИПЕЦК" в бюджет субъекта текущий‬</t>
  </si>
  <si>
    <t>‭Налог на прибыль ДО "КРАСНОЯРСК" в бюджет субьекта текущий‬</t>
  </si>
  <si>
    <t>‭Налог на прибыль ДО "КРАСНОДАР" в бюджет субъекта текущий‬</t>
  </si>
  <si>
    <t>‭Расходы по изготовлению заготовок плаcтиковых карт Прошлых лет‬</t>
  </si>
  <si>
    <t>‭Расходы по ремонту арендованного имущества Прошлых лет‬</t>
  </si>
  <si>
    <t>‭Расходы по содерж.помещения прошлых лет ‬</t>
  </si>
  <si>
    <t>‭Охрана прошлых лет‬</t>
  </si>
  <si>
    <t>‭Расходы на рекламу ненормируемые прошлых лет ‬</t>
  </si>
  <si>
    <t>‭Прочие комиссии по системе "Город" прошлых лет‬</t>
  </si>
  <si>
    <t>‭НДС, учитываемый в составе расходов (Отложенный). Прошлых лет.‬</t>
  </si>
  <si>
    <t>‭Расходы на информ.-сервисные услуги партнеров по операциям клиентов, держателей карты ООО "Цифра банк" прошлых лет‬</t>
  </si>
  <si>
    <t>Аренда помещений</t>
  </si>
  <si>
    <t>ДО Афимолл</t>
  </si>
  <si>
    <t>Меркурий 17 этаж</t>
  </si>
  <si>
    <t>Меркурий 12 этаж</t>
  </si>
  <si>
    <t>Меркурий -2 этаж</t>
  </si>
  <si>
    <t>ДО Меркурий</t>
  </si>
  <si>
    <t>Меркурий 17 этаж (склад ДИТ)</t>
  </si>
  <si>
    <t>Москва Меркурий комната платежей</t>
  </si>
  <si>
    <t>ДО Каретный</t>
  </si>
  <si>
    <t>Москва Архив</t>
  </si>
  <si>
    <t>ДО г.Архангельск</t>
  </si>
  <si>
    <t>ДО г.Барнаул</t>
  </si>
  <si>
    <t>ДО г.Белгород</t>
  </si>
  <si>
    <t>ДО г.Братск</t>
  </si>
  <si>
    <t>ДО г.Владивосток</t>
  </si>
  <si>
    <t>ДО г.Волгоград</t>
  </si>
  <si>
    <t>ДО г.Воронеж</t>
  </si>
  <si>
    <t>ДО г.Екатеринбург</t>
  </si>
  <si>
    <t>ДО г.Екатеринбург (УТО)</t>
  </si>
  <si>
    <t>ДО г.Ижевск</t>
  </si>
  <si>
    <t>ДО г.Иркутск</t>
  </si>
  <si>
    <t>ДО Татарстан</t>
  </si>
  <si>
    <t>ДО г.Калининград</t>
  </si>
  <si>
    <t>ДО г.Кемерово</t>
  </si>
  <si>
    <t>ДО г.Краснодар</t>
  </si>
  <si>
    <t>ДО г.Красноярск</t>
  </si>
  <si>
    <t>ДО г.Липецк</t>
  </si>
  <si>
    <t>ДО г.Набережные Челны</t>
  </si>
  <si>
    <t>ДО г.Нижний Новгород</t>
  </si>
  <si>
    <t>ДО г.Новосибирск</t>
  </si>
  <si>
    <t>ДО г.Омск</t>
  </si>
  <si>
    <t>ДО г.Оренбург</t>
  </si>
  <si>
    <t>ДО г.Пермь</t>
  </si>
  <si>
    <t>ДО г.Ростов-на-Дону</t>
  </si>
  <si>
    <t>ДО г.Рязань</t>
  </si>
  <si>
    <t>ДО г.Самара</t>
  </si>
  <si>
    <t>ДО г.Санкт-Петербург</t>
  </si>
  <si>
    <t>ДО Ленинградский</t>
  </si>
  <si>
    <t>ДО г.Саратов</t>
  </si>
  <si>
    <t>ДО г.Сочи (2эт.)</t>
  </si>
  <si>
    <t>ДО г.Сочи</t>
  </si>
  <si>
    <t>ДО г.Сочи (Аэропорт)</t>
  </si>
  <si>
    <t>ДО г.Ставрополь</t>
  </si>
  <si>
    <t>ДО г.Тверь</t>
  </si>
  <si>
    <t>ДО г.Тольятти</t>
  </si>
  <si>
    <t>ДО г.Тула</t>
  </si>
  <si>
    <t>ДО г.Тюмень</t>
  </si>
  <si>
    <t>ДО г.Уфа</t>
  </si>
  <si>
    <t>ДО г.Челябинск</t>
  </si>
  <si>
    <t>ДО г.Череповец</t>
  </si>
  <si>
    <t>ДО г.Ярославль</t>
  </si>
  <si>
    <t>Москва Афимолл (1эт.) (парковка)</t>
  </si>
  <si>
    <t>Корректировка (особенности учета АФПП по МСФО)</t>
  </si>
  <si>
    <t>Прочее мелкое ПО</t>
  </si>
  <si>
    <t>Доступ к веб-службам Microsoft и Office</t>
  </si>
  <si>
    <t>Sherlock Platform</t>
  </si>
  <si>
    <t>Закупка и обновление лицензий и  СЗИ, опер расходы ДИБ</t>
  </si>
  <si>
    <t>Secret Net LSP, Secret Net Studio 8, КриптоПро CSP, REDOS-DSP-CER-STD-0123, Kaspersky Endpoint Security, КриптоПро JCP, КриптоПро NGate, UserGate D200</t>
  </si>
  <si>
    <t>Поддержка Ключей УКЭП и СКЗИ, ГИС ДИБ</t>
  </si>
  <si>
    <t>Лицензия Кибер Бэкап</t>
  </si>
  <si>
    <t>Система iDБанк</t>
  </si>
  <si>
    <t>Фильтрация трафика, IP-адреса, отказоустойчивый DNS10 ДИБ</t>
  </si>
  <si>
    <t>Лицензия СБИС</t>
  </si>
  <si>
    <t>Электронная очередь</t>
  </si>
  <si>
    <t>Информационная безопасность (Dr.Web, Kaspersky) ДИБ</t>
  </si>
  <si>
    <t>Лицензии и поддержка Naumen</t>
  </si>
  <si>
    <t>VDI</t>
  </si>
  <si>
    <t xml:space="preserve">VK Teams </t>
  </si>
  <si>
    <t>КЦ Line24</t>
  </si>
  <si>
    <t>Техническая поддержка АБС</t>
  </si>
  <si>
    <t>Разработка ПО (по ГПХ)</t>
  </si>
  <si>
    <t>БАНК НКЦ (АО) ФР  индивидуальное (Т "+") обеспечение</t>
  </si>
  <si>
    <t>Доступ к веб-службам Yandex 360</t>
  </si>
  <si>
    <t>Сервисы ЦФТ и ЗК (СБП, МП, МП ЮЛ, управление АТМ)</t>
  </si>
  <si>
    <t>ПО ДиБ Системс</t>
  </si>
  <si>
    <t>Веб-разработка</t>
  </si>
  <si>
    <t>Система QUIK MP «Брокер»</t>
  </si>
  <si>
    <t>ОТИБ ЕБС</t>
  </si>
  <si>
    <t>Апренсис Технологии</t>
  </si>
  <si>
    <t>ПО СВИФТ Alliance Access</t>
  </si>
  <si>
    <t>БизнесМатика</t>
  </si>
  <si>
    <t>Лицензии для UserGate (инф безопасность)</t>
  </si>
  <si>
    <t>Транзакционный антифрод ДИБ</t>
  </si>
  <si>
    <t>Периодическая лицензия АБС</t>
  </si>
  <si>
    <t>ПО Кадровая справочная система "Система кадры"</t>
  </si>
  <si>
    <t>ПО 1С:Кабинет сотрудника</t>
  </si>
  <si>
    <t>Битрикс</t>
  </si>
  <si>
    <t>Лицензии и продление NGFW ДИБ</t>
  </si>
  <si>
    <t>Автоматизация тестирования (Browserstack App Automate)</t>
  </si>
  <si>
    <t>РискФин</t>
  </si>
  <si>
    <t>MaxPatrol (инф безопасность) ДИБ</t>
  </si>
  <si>
    <t>Allure TestOps Server</t>
  </si>
  <si>
    <t>PT Sandbox ДИБ</t>
  </si>
  <si>
    <t>Многофакторная аутентификация</t>
  </si>
  <si>
    <t>Защита почты ДИБ</t>
  </si>
  <si>
    <t>ПО Кайтен</t>
  </si>
  <si>
    <t>Attack Surface Management ДИБ</t>
  </si>
  <si>
    <t>Защита мобильных доступов ДИБ</t>
  </si>
  <si>
    <t>ЗОЛОТАЯ КОРОНА</t>
  </si>
  <si>
    <t>Проведение идентификации</t>
  </si>
  <si>
    <t>Подписки</t>
  </si>
  <si>
    <t>ПО iSpring</t>
  </si>
  <si>
    <t>Управл.Корр</t>
  </si>
  <si>
    <t>Комиссии (спецброкерские)</t>
  </si>
  <si>
    <t>Комиссии в ФФ КЗ</t>
  </si>
  <si>
    <t>Тип проверки</t>
  </si>
  <si>
    <t>Наименование поля</t>
  </si>
  <si>
    <t>Пример данных</t>
  </si>
  <si>
    <t>Примечания</t>
  </si>
  <si>
    <t>Проверка по справочнику</t>
  </si>
  <si>
    <t>ФЛ, ЮЛ, ИП</t>
  </si>
  <si>
    <t>Актуализировать данные</t>
  </si>
  <si>
    <t>Без проверки</t>
  </si>
  <si>
    <t>Не нужно</t>
  </si>
  <si>
    <t>Кажется тут лежат данные из расшифровки</t>
  </si>
  <si>
    <t>Проверка тип данных и заполненность</t>
  </si>
  <si>
    <t>Проверить пустые значения ( почти 1000 строк)</t>
  </si>
  <si>
    <t>Отдавать в формате YYYY-MM-DD</t>
  </si>
  <si>
    <t>Обединить с еще одним полем Комментарии, отдавать все в одном</t>
  </si>
  <si>
    <t>Доход/Расход/Резервы</t>
  </si>
  <si>
    <t>Объединить с Комметарии</t>
  </si>
  <si>
    <t>Добавить поле</t>
  </si>
  <si>
    <t>Код валюты</t>
  </si>
  <si>
    <t>RUB/USD/KZT …</t>
  </si>
  <si>
    <t xml:space="preserve">Мне кажется, он уже где-то есть. Просто нужно перенести в правильный столбец. А то он то ли в расшифровке лежит, код валюты, то ли еще где-то. То ли в наименовании счета. </t>
  </si>
  <si>
    <t>Страна резидентства (или хотя бы рез/нерез)</t>
  </si>
  <si>
    <t>RU/KZ/AM/KG | Резидент/Нерезидент</t>
  </si>
  <si>
    <t xml:space="preserve">Если нет возможности отдавать страну резидентство, достаточно просто резидент, не резидент. </t>
  </si>
  <si>
    <t>Тип деятельности</t>
  </si>
  <si>
    <t>Операционная/Инвестиционная/Переоценка</t>
  </si>
  <si>
    <t>Если есть такая возможность</t>
  </si>
  <si>
    <t>EBITDA</t>
  </si>
  <si>
    <t>true/false</t>
  </si>
  <si>
    <t>Отметить поля, которые входят в расчет ебитды, можно, наверное, без него, если согласовать четкий список параметров по которым я сам мог бы посчитать ебитду</t>
  </si>
  <si>
    <t>RUB</t>
  </si>
  <si>
    <t>Прочее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</si>
</sst>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2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9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1" fillId="0" borderId="0" xfId="1"/>
    <xf numFmtId="0" fontId="2" fillId="2" borderId="1" xfId="1" applyFont="1" applyFill="1" applyBorder="1"/>
    <xf numFmtId="0" fontId="2" fillId="2" borderId="2" xfId="1" applyFont="1" applyFill="1" applyBorder="1"/>
    <xf numFmtId="0" fontId="2" fillId="2" borderId="3" xfId="1" applyFont="1" applyFill="1" applyBorder="1"/>
    <xf numFmtId="0" fontId="1" fillId="3" borderId="1" xfId="1" applyFill="1" applyBorder="1"/>
    <xf numFmtId="0" fontId="1" fillId="3" borderId="2" xfId="1" applyFill="1" applyBorder="1"/>
    <xf numFmtId="0" fontId="3" fillId="3" borderId="2" xfId="1" applyFont="1" applyFill="1" applyBorder="1"/>
    <xf numFmtId="0" fontId="1" fillId="3" borderId="3" xfId="1" applyFill="1" applyBorder="1"/>
    <xf numFmtId="0" fontId="1" fillId="0" borderId="1" xfId="1" applyBorder="1"/>
    <xf numFmtId="0" fontId="1" fillId="0" borderId="2" xfId="1" applyBorder="1"/>
    <xf numFmtId="0" fontId="3" fillId="0" borderId="2" xfId="1" applyFont="1" applyBorder="1"/>
    <xf numFmtId="0" fontId="1" fillId="0" borderId="3" xfId="1" applyBorder="1"/>
    <xf numFmtId="0" fontId="1" fillId="0" borderId="4" xfId="1" applyBorder="1"/>
    <xf numFmtId="0" fontId="1" fillId="3" borderId="4" xfId="1" applyFill="1" applyBorder="1"/>
    <xf numFmtId="0" fontId="1" fillId="0" borderId="5" xfId="1" applyBorder="1"/>
    <xf numFmtId="0" fontId="1" fillId="3" borderId="6" xfId="1" applyFill="1" applyBorder="1"/>
    <xf numFmtId="0" fontId="1" fillId="3" borderId="5" xfId="1" applyFill="1" applyBorder="1"/>
    <xf numFmtId="0" fontId="1" fillId="0" borderId="6" xfId="1" applyBorder="1"/>
    <xf numFmtId="0" fontId="1" fillId="0" borderId="7" xfId="1" applyBorder="1"/>
    <xf numFmtId="0" fontId="1" fillId="3" borderId="7" xfId="1" applyFill="1" applyBorder="1"/>
    <xf numFmtId="0" fontId="2" fillId="2" borderId="1" xfId="0" applyFont="1" applyFill="1" applyBorder="1"/>
    <xf numFmtId="0" fontId="0" fillId="3" borderId="1" xfId="0" applyFill="1" applyBorder="1"/>
    <xf numFmtId="0" fontId="2" fillId="2" borderId="2" xfId="0" applyFont="1" applyFill="1" applyBorder="1"/>
    <xf numFmtId="0" fontId="0" fillId="3" borderId="2" xfId="0" applyFill="1" applyBorder="1"/>
    <xf numFmtId="2" fontId="2" fillId="2" borderId="2" xfId="0" applyNumberFormat="1" applyFont="1" applyFill="1" applyBorder="1"/>
    <xf numFmtId="2" fontId="0" fillId="3" borderId="2" xfId="0" applyNumberFormat="1" applyFill="1" applyBorder="1"/>
    <xf numFmtId="2" fontId="0" fillId="0" borderId="0" xfId="0" applyNumberFormat="1"/>
    <xf numFmtId="1" fontId="0" fillId="3" borderId="2" xfId="0" applyNumberFormat="1" applyFill="1" applyBorder="1"/>
    <xf numFmtId="0" fontId="3" fillId="3" borderId="2" xfId="0" applyFont="1" applyFill="1" applyBorder="1"/>
    <xf numFmtId="0" fontId="2" fillId="2" borderId="3" xfId="0" applyFont="1" applyFill="1" applyBorder="1"/>
    <xf numFmtId="0" fontId="0" fillId="3" borderId="3" xfId="0" applyFill="1" applyBorder="1"/>
    <xf numFmtId="0" fontId="0" fillId="0" borderId="0" xfId="0" applyAlignment="1">
      <alignment wrapText="1"/>
    </xf>
    <xf numFmtId="0" fontId="2" fillId="2" borderId="0" xfId="0" applyFont="1" applyFill="1"/>
    <xf numFmtId="0" fontId="0" fillId="3" borderId="0" xfId="0" applyFill="1"/>
    <xf numFmtId="15" fontId="1" fillId="3" borderId="2" xfId="1" applyNumberFormat="1" applyFill="1" applyBorder="1"/>
    <xf numFmtId="15" fontId="1" fillId="0" borderId="2" xfId="1" applyNumberFormat="1" applyBorder="1"/>
    <xf numFmtId="15" fontId="1" fillId="3" borderId="5" xfId="1" applyNumberFormat="1" applyFill="1" applyBorder="1"/>
    <xf numFmtId="15" fontId="1" fillId="0" borderId="5" xfId="1" applyNumberFormat="1" applyBorder="1"/>
    <xf numFmtId="15" fontId="1" fillId="0" borderId="4" xfId="1" applyNumberFormat="1" applyBorder="1"/>
    <xf numFmtId="15" fontId="1" fillId="3" borderId="4" xfId="1" applyNumberFormat="1" applyFill="1" applyBorder="1"/>
    <xf numFmtId="15" fontId="1" fillId="3" borderId="8" xfId="1" applyNumberFormat="1" applyFill="1" applyBorder="1"/>
    <xf numFmtId="15" fontId="1" fillId="0" borderId="8" xfId="1" applyNumberFormat="1" applyBorder="1"/>
    <xf numFmtId="0" fontId="1" fillId="3" borderId="0" xfId="1" applyFill="1"/>
    <xf numFmtId="0" fontId="3" fillId="0" borderId="5" xfId="1" applyFont="1" applyBorder="1"/>
    <xf numFmtId="0" fontId="3" fillId="3" borderId="5" xfId="1" applyFont="1" applyFill="1" applyBorder="1"/>
    <xf numFmtId="0" fontId="3" fillId="3" borderId="0" xfId="1" applyFont="1" applyFill="1"/>
    <xf numFmtId="4" fontId="2" fillId="2" borderId="2" xfId="1" applyNumberFormat="1" applyFont="1" applyFill="1" applyBorder="1"/>
    <xf numFmtId="4" fontId="1" fillId="0" borderId="2" xfId="1" applyNumberFormat="1" applyBorder="1"/>
    <xf numFmtId="4" fontId="1" fillId="3" borderId="2" xfId="1" applyNumberFormat="1" applyFill="1" applyBorder="1"/>
    <xf numFmtId="4" fontId="1" fillId="3" borderId="5" xfId="1" applyNumberFormat="1" applyFill="1" applyBorder="1"/>
    <xf numFmtId="4" fontId="1" fillId="0" borderId="5" xfId="1" applyNumberFormat="1" applyBorder="1"/>
    <xf numFmtId="4" fontId="1" fillId="0" borderId="4" xfId="1" applyNumberFormat="1" applyBorder="1"/>
    <xf numFmtId="4" fontId="1" fillId="3" borderId="4" xfId="1" applyNumberFormat="1" applyFill="1" applyBorder="1"/>
    <xf numFmtId="4" fontId="1" fillId="0" borderId="0" xfId="1" applyNumberFormat="1"/>
  </cellXfs>
  <cellStyles count="3">
    <cellStyle name="Обычный" xfId="0" builtinId="0"/>
    <cellStyle name="Обычный 2" xfId="1" xr:uid="{5B7C547F-834D-1747-82EC-BCDD7E02EE26}"/>
    <cellStyle name="Финансовый 2" xfId="2" xr:uid="{A482D01A-342B-314D-B498-A3B09863B6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Relationship Id="rId1" Type="http://schemas.openxmlformats.org/officeDocument/2006/relationships/externalLinkPath" Target="/Users/pm/Downloads/&#1057;&#1074;&#1086;&#1076;%20&#1087;&#1086;%20&#1054;&#1055;&#1059;%20(&#1082;&#1086;&#1084;&#1084;&#1077;&#1085;&#1090;&#1072;&#1088;&#1080;&#1080;)_1125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вод"/>
      <sheetName val="Опекс"/>
      <sheetName val="Свод по клиентам (ЮЛи ИП)"/>
      <sheetName val="ЧПД"/>
      <sheetName val="FX"/>
      <sheetName val="Data_BI"/>
      <sheetName val="Для загрузки"/>
      <sheetName val="Опекс_выписки"/>
      <sheetName val="Спецброкерск"/>
    </sheetNames>
    <sheetDataSet>
      <sheetData sheetId="0"/>
      <sheetData sheetId="1"/>
      <sheetData sheetId="2"/>
      <sheetData sheetId="3"/>
      <sheetData sheetId="4"/>
      <sheetData sheetId="5">
        <row r="7">
          <cell r="C7" t="str">
            <v>Доход от пересчета начисленных процентов при досрочном закрытии депозита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C4707-0CBA-B74C-A345-FCB0CBB238E7}">
  <sheetPr filterMode="1"/>
  <dimension ref="A1:L568"/>
  <sheetViews>
    <sheetView tabSelected="1" workbookViewId="0">
      <selection activeCell="C585" sqref="C585"/>
    </sheetView>
  </sheetViews>
  <sheetFormatPr baseColWidth="10" defaultColWidth="22.5" defaultRowHeight="15" x14ac:dyDescent="0.2"/>
  <cols>
    <col min="1" max="2" width="22.5" style="1"/>
    <col min="3" max="3" width="46.5" style="1" customWidth="1"/>
    <col min="4" max="4" width="41.1640625" style="1" customWidth="1"/>
    <col min="5" max="5" width="22.5" style="1"/>
    <col min="6" max="6" width="65.6640625" style="1" customWidth="1"/>
    <col min="7" max="7" width="22.5" style="54"/>
    <col min="8" max="16384" width="22.5" style="1"/>
  </cols>
  <sheetData>
    <row r="1" spans="1:12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609</v>
      </c>
      <c r="F1" s="3" t="s">
        <v>4</v>
      </c>
      <c r="G1" s="47" t="s">
        <v>6</v>
      </c>
      <c r="H1" s="3" t="s">
        <v>8</v>
      </c>
      <c r="I1" s="3" t="s">
        <v>12</v>
      </c>
      <c r="J1" s="3" t="s">
        <v>13</v>
      </c>
      <c r="K1" s="4" t="s">
        <v>14</v>
      </c>
    </row>
    <row r="2" spans="1:12" hidden="1" x14ac:dyDescent="0.2">
      <c r="A2" s="9" t="s">
        <v>15</v>
      </c>
      <c r="B2" s="10" t="s">
        <v>16</v>
      </c>
      <c r="C2" s="10" t="s">
        <v>32</v>
      </c>
      <c r="D2" s="6" t="s">
        <v>622</v>
      </c>
      <c r="E2" s="6" t="s">
        <v>621</v>
      </c>
      <c r="F2" s="10" t="s">
        <v>33</v>
      </c>
      <c r="G2" s="48">
        <v>220656000</v>
      </c>
      <c r="H2" s="36">
        <v>45658</v>
      </c>
      <c r="I2" s="11"/>
      <c r="J2" s="10" t="s">
        <v>24</v>
      </c>
      <c r="K2" s="12" t="s">
        <v>25</v>
      </c>
      <c r="L2" s="54">
        <f t="shared" ref="L2:L6" si="0">(ISNUMBER(G2))-1</f>
        <v>0</v>
      </c>
    </row>
    <row r="3" spans="1:12" hidden="1" x14ac:dyDescent="0.2">
      <c r="A3" s="5" t="s">
        <v>81</v>
      </c>
      <c r="B3" s="6" t="s">
        <v>168</v>
      </c>
      <c r="C3" s="6" t="s">
        <v>181</v>
      </c>
      <c r="D3" s="6" t="s">
        <v>622</v>
      </c>
      <c r="E3" s="6" t="s">
        <v>621</v>
      </c>
      <c r="F3" s="6" t="s">
        <v>591</v>
      </c>
      <c r="G3" s="49">
        <v>176848474.36000001</v>
      </c>
      <c r="H3" s="35">
        <v>45658</v>
      </c>
      <c r="I3" s="6"/>
      <c r="J3" s="6" t="s">
        <v>589</v>
      </c>
      <c r="K3" s="8" t="s">
        <v>66</v>
      </c>
      <c r="L3" s="54">
        <f t="shared" si="0"/>
        <v>0</v>
      </c>
    </row>
    <row r="4" spans="1:12" hidden="1" x14ac:dyDescent="0.2">
      <c r="A4" s="5" t="s">
        <v>201</v>
      </c>
      <c r="B4" s="6" t="s">
        <v>202</v>
      </c>
      <c r="C4" s="6" t="s">
        <v>203</v>
      </c>
      <c r="D4" s="6" t="s">
        <v>622</v>
      </c>
      <c r="E4" s="6" t="s">
        <v>209</v>
      </c>
      <c r="F4" s="6"/>
      <c r="G4" s="49">
        <v>148120877.69999999</v>
      </c>
      <c r="H4" s="35">
        <v>45658</v>
      </c>
      <c r="I4" s="7"/>
      <c r="J4" s="6" t="s">
        <v>24</v>
      </c>
      <c r="K4" s="8" t="s">
        <v>25</v>
      </c>
      <c r="L4" s="54">
        <f t="shared" si="0"/>
        <v>0</v>
      </c>
    </row>
    <row r="5" spans="1:12" hidden="1" x14ac:dyDescent="0.2">
      <c r="A5" s="5" t="s">
        <v>81</v>
      </c>
      <c r="B5" s="6" t="s">
        <v>82</v>
      </c>
      <c r="C5" s="6" t="s">
        <v>115</v>
      </c>
      <c r="D5" s="6" t="s">
        <v>30</v>
      </c>
      <c r="E5" s="6" t="s">
        <v>621</v>
      </c>
      <c r="F5" s="6" t="s">
        <v>145</v>
      </c>
      <c r="G5" s="49">
        <v>123713870.14</v>
      </c>
      <c r="H5" s="35">
        <v>45658</v>
      </c>
      <c r="I5" s="7"/>
      <c r="J5" s="6" t="s">
        <v>24</v>
      </c>
      <c r="K5" s="8" t="s">
        <v>25</v>
      </c>
      <c r="L5" s="54">
        <f t="shared" si="0"/>
        <v>0</v>
      </c>
    </row>
    <row r="6" spans="1:12" hidden="1" x14ac:dyDescent="0.2">
      <c r="A6" s="5" t="s">
        <v>263</v>
      </c>
      <c r="B6" s="6" t="s">
        <v>264</v>
      </c>
      <c r="C6" s="6" t="e">
        <f>Data_BI!#REF!</f>
        <v>#REF!</v>
      </c>
      <c r="D6" s="6" t="s">
        <v>622</v>
      </c>
      <c r="E6" s="6" t="s">
        <v>621</v>
      </c>
      <c r="F6" s="6" t="s">
        <v>300</v>
      </c>
      <c r="G6" s="49">
        <v>98348830</v>
      </c>
      <c r="H6" s="35">
        <v>45658</v>
      </c>
      <c r="I6" s="7"/>
      <c r="J6" s="6" t="s">
        <v>24</v>
      </c>
      <c r="K6" s="8" t="s">
        <v>266</v>
      </c>
      <c r="L6" s="54">
        <f t="shared" si="0"/>
        <v>0</v>
      </c>
    </row>
    <row r="7" spans="1:12" hidden="1" x14ac:dyDescent="0.2">
      <c r="A7" s="9" t="s">
        <v>201</v>
      </c>
      <c r="B7" s="10" t="s">
        <v>202</v>
      </c>
      <c r="C7" s="10" t="s">
        <v>203</v>
      </c>
      <c r="D7" s="6" t="s">
        <v>622</v>
      </c>
      <c r="E7" s="6" t="s">
        <v>206</v>
      </c>
      <c r="F7" s="10"/>
      <c r="G7" s="48">
        <v>90179795.060000017</v>
      </c>
      <c r="H7" s="36">
        <v>45658</v>
      </c>
      <c r="I7" s="11"/>
      <c r="J7" s="10" t="s">
        <v>24</v>
      </c>
      <c r="K7" s="12" t="s">
        <v>25</v>
      </c>
      <c r="L7" s="54">
        <f t="shared" ref="L7:L10" si="1">(ISNUMBER(G7))-1</f>
        <v>0</v>
      </c>
    </row>
    <row r="8" spans="1:12" hidden="1" x14ac:dyDescent="0.2">
      <c r="A8" s="9" t="s">
        <v>263</v>
      </c>
      <c r="B8" s="10" t="s">
        <v>264</v>
      </c>
      <c r="C8" s="10" t="e">
        <f>Data_BI!#REF!</f>
        <v>#REF!</v>
      </c>
      <c r="D8" s="6" t="s">
        <v>622</v>
      </c>
      <c r="E8" s="6" t="s">
        <v>621</v>
      </c>
      <c r="F8" s="10" t="s">
        <v>299</v>
      </c>
      <c r="G8" s="48">
        <v>66000000</v>
      </c>
      <c r="H8" s="36">
        <v>45658</v>
      </c>
      <c r="I8" s="11"/>
      <c r="J8" s="10" t="s">
        <v>24</v>
      </c>
      <c r="K8" s="8" t="s">
        <v>266</v>
      </c>
      <c r="L8" s="54">
        <f t="shared" si="1"/>
        <v>0</v>
      </c>
    </row>
    <row r="9" spans="1:12" hidden="1" x14ac:dyDescent="0.2">
      <c r="A9" s="9" t="s">
        <v>201</v>
      </c>
      <c r="B9" s="10" t="s">
        <v>202</v>
      </c>
      <c r="C9" s="10" t="s">
        <v>203</v>
      </c>
      <c r="D9" s="6" t="s">
        <v>622</v>
      </c>
      <c r="E9" s="6" t="s">
        <v>205</v>
      </c>
      <c r="F9" s="10"/>
      <c r="G9" s="48">
        <v>51323663.879999898</v>
      </c>
      <c r="H9" s="36">
        <v>45658</v>
      </c>
      <c r="I9" s="11"/>
      <c r="J9" s="10" t="s">
        <v>24</v>
      </c>
      <c r="K9" s="12" t="s">
        <v>25</v>
      </c>
      <c r="L9" s="54">
        <f t="shared" si="1"/>
        <v>0</v>
      </c>
    </row>
    <row r="10" spans="1:12" hidden="1" x14ac:dyDescent="0.2">
      <c r="A10" s="5" t="s">
        <v>201</v>
      </c>
      <c r="B10" s="6" t="s">
        <v>202</v>
      </c>
      <c r="C10" s="6" t="s">
        <v>203</v>
      </c>
      <c r="D10" s="6" t="s">
        <v>622</v>
      </c>
      <c r="E10" s="6" t="s">
        <v>207</v>
      </c>
      <c r="F10" s="6"/>
      <c r="G10" s="49">
        <v>47140830.989999898</v>
      </c>
      <c r="H10" s="35">
        <v>45658</v>
      </c>
      <c r="I10" s="7"/>
      <c r="J10" s="6" t="s">
        <v>24</v>
      </c>
      <c r="K10" s="8" t="s">
        <v>25</v>
      </c>
      <c r="L10" s="54">
        <f t="shared" si="1"/>
        <v>0</v>
      </c>
    </row>
    <row r="11" spans="1:12" hidden="1" x14ac:dyDescent="0.2">
      <c r="A11" s="5" t="s">
        <v>263</v>
      </c>
      <c r="B11" s="6" t="s">
        <v>264</v>
      </c>
      <c r="C11" s="6" t="e">
        <f>Data_BI!#REF!</f>
        <v>#REF!</v>
      </c>
      <c r="D11" s="6" t="s">
        <v>622</v>
      </c>
      <c r="E11" s="6" t="s">
        <v>621</v>
      </c>
      <c r="F11" s="6" t="s">
        <v>274</v>
      </c>
      <c r="G11" s="49">
        <v>38300541.799999997</v>
      </c>
      <c r="H11" s="35">
        <v>45658</v>
      </c>
      <c r="I11" s="7"/>
      <c r="J11" s="6" t="s">
        <v>24</v>
      </c>
      <c r="K11" s="8" t="s">
        <v>266</v>
      </c>
      <c r="L11" s="54">
        <f t="shared" ref="L11:L17" si="2">(ISNUMBER(G11))-1</f>
        <v>0</v>
      </c>
    </row>
    <row r="12" spans="1:12" hidden="1" x14ac:dyDescent="0.2">
      <c r="A12" s="9" t="s">
        <v>81</v>
      </c>
      <c r="B12" s="10" t="s">
        <v>82</v>
      </c>
      <c r="C12" s="10" t="s">
        <v>108</v>
      </c>
      <c r="D12" s="6" t="s">
        <v>622</v>
      </c>
      <c r="E12" s="6" t="s">
        <v>621</v>
      </c>
      <c r="F12" s="10" t="s">
        <v>110</v>
      </c>
      <c r="G12" s="48">
        <v>37445578.119999997</v>
      </c>
      <c r="H12" s="36">
        <v>45658</v>
      </c>
      <c r="I12" s="11"/>
      <c r="J12" s="10" t="s">
        <v>24</v>
      </c>
      <c r="K12" s="12" t="s">
        <v>25</v>
      </c>
      <c r="L12" s="54">
        <f t="shared" si="2"/>
        <v>0</v>
      </c>
    </row>
    <row r="13" spans="1:12" hidden="1" x14ac:dyDescent="0.2">
      <c r="A13" s="9" t="s">
        <v>15</v>
      </c>
      <c r="B13" s="10" t="s">
        <v>16</v>
      </c>
      <c r="C13" s="10" t="s">
        <v>46</v>
      </c>
      <c r="D13" s="6" t="s">
        <v>622</v>
      </c>
      <c r="E13" s="6" t="s">
        <v>621</v>
      </c>
      <c r="F13" s="10" t="s">
        <v>62</v>
      </c>
      <c r="G13" s="48">
        <v>36920497.409999996</v>
      </c>
      <c r="H13" s="36">
        <v>45658</v>
      </c>
      <c r="I13" s="11"/>
      <c r="J13" s="10" t="s">
        <v>24</v>
      </c>
      <c r="K13" s="12" t="s">
        <v>25</v>
      </c>
      <c r="L13" s="54">
        <f t="shared" si="2"/>
        <v>0</v>
      </c>
    </row>
    <row r="14" spans="1:12" hidden="1" x14ac:dyDescent="0.2">
      <c r="A14" s="9" t="s">
        <v>15</v>
      </c>
      <c r="B14" s="10" t="s">
        <v>16</v>
      </c>
      <c r="C14" s="10" t="s">
        <v>44</v>
      </c>
      <c r="D14" s="6" t="s">
        <v>622</v>
      </c>
      <c r="E14" s="6" t="s">
        <v>621</v>
      </c>
      <c r="F14" s="10" t="s">
        <v>45</v>
      </c>
      <c r="G14" s="48">
        <v>36171583.280000001</v>
      </c>
      <c r="H14" s="36">
        <v>45658</v>
      </c>
      <c r="I14" s="11"/>
      <c r="J14" s="10" t="s">
        <v>24</v>
      </c>
      <c r="K14" s="12" t="s">
        <v>25</v>
      </c>
      <c r="L14" s="54">
        <f t="shared" si="2"/>
        <v>0</v>
      </c>
    </row>
    <row r="15" spans="1:12" hidden="1" x14ac:dyDescent="0.2">
      <c r="A15" s="5" t="s">
        <v>221</v>
      </c>
      <c r="B15" s="6" t="s">
        <v>230</v>
      </c>
      <c r="C15" s="6" t="s">
        <v>231</v>
      </c>
      <c r="D15" s="6" t="s">
        <v>622</v>
      </c>
      <c r="E15" s="6" t="s">
        <v>621</v>
      </c>
      <c r="F15" s="6" t="s">
        <v>232</v>
      </c>
      <c r="G15" s="49">
        <v>31000000</v>
      </c>
      <c r="H15" s="35">
        <v>45658</v>
      </c>
      <c r="I15" s="7"/>
      <c r="J15" s="6" t="s">
        <v>24</v>
      </c>
      <c r="K15" s="8" t="s">
        <v>25</v>
      </c>
      <c r="L15" s="54">
        <f t="shared" si="2"/>
        <v>0</v>
      </c>
    </row>
    <row r="16" spans="1:12" hidden="1" x14ac:dyDescent="0.2">
      <c r="A16" s="5" t="s">
        <v>201</v>
      </c>
      <c r="B16" s="6" t="s">
        <v>214</v>
      </c>
      <c r="C16" s="6" t="s">
        <v>215</v>
      </c>
      <c r="D16" s="6" t="s">
        <v>622</v>
      </c>
      <c r="E16" s="6" t="s">
        <v>206</v>
      </c>
      <c r="F16" s="6"/>
      <c r="G16" s="49">
        <v>29179360.980000276</v>
      </c>
      <c r="H16" s="35">
        <v>45658</v>
      </c>
      <c r="I16" s="7"/>
      <c r="J16" s="6" t="s">
        <v>24</v>
      </c>
      <c r="K16" s="8" t="s">
        <v>25</v>
      </c>
      <c r="L16" s="54">
        <f t="shared" si="2"/>
        <v>0</v>
      </c>
    </row>
    <row r="17" spans="1:12" hidden="1" x14ac:dyDescent="0.2">
      <c r="A17" s="9" t="s">
        <v>201</v>
      </c>
      <c r="B17" s="10" t="s">
        <v>202</v>
      </c>
      <c r="C17" s="10" t="s">
        <v>203</v>
      </c>
      <c r="D17" s="6" t="s">
        <v>622</v>
      </c>
      <c r="E17" s="6" t="s">
        <v>209</v>
      </c>
      <c r="F17" s="10"/>
      <c r="G17" s="48">
        <v>23865668.210000001</v>
      </c>
      <c r="H17" s="36">
        <v>45658</v>
      </c>
      <c r="I17" s="11"/>
      <c r="J17" s="10" t="s">
        <v>24</v>
      </c>
      <c r="K17" s="12" t="s">
        <v>25</v>
      </c>
      <c r="L17" s="54">
        <f t="shared" si="2"/>
        <v>0</v>
      </c>
    </row>
    <row r="18" spans="1:12" hidden="1" x14ac:dyDescent="0.2">
      <c r="A18" s="9" t="s">
        <v>81</v>
      </c>
      <c r="B18" s="10" t="s">
        <v>82</v>
      </c>
      <c r="C18" s="10" t="s">
        <v>148</v>
      </c>
      <c r="D18" s="10" t="s">
        <v>38</v>
      </c>
      <c r="E18" s="6" t="s">
        <v>621</v>
      </c>
      <c r="F18" s="10" t="s">
        <v>167</v>
      </c>
      <c r="G18" s="48">
        <v>20365258.390000001</v>
      </c>
      <c r="H18" s="36">
        <v>45658</v>
      </c>
      <c r="I18" s="11"/>
      <c r="J18" s="10" t="s">
        <v>24</v>
      </c>
      <c r="K18" s="12" t="s">
        <v>25</v>
      </c>
      <c r="L18" s="54">
        <f t="shared" ref="L18:L23" si="3">(ISNUMBER(G18))-1</f>
        <v>0</v>
      </c>
    </row>
    <row r="19" spans="1:12" hidden="1" x14ac:dyDescent="0.2">
      <c r="A19" s="5" t="s">
        <v>15</v>
      </c>
      <c r="B19" s="6" t="s">
        <v>16</v>
      </c>
      <c r="C19" s="6" t="s">
        <v>46</v>
      </c>
      <c r="D19" s="6" t="s">
        <v>622</v>
      </c>
      <c r="E19" s="6" t="s">
        <v>621</v>
      </c>
      <c r="F19" s="6" t="s">
        <v>61</v>
      </c>
      <c r="G19" s="49">
        <v>17081880</v>
      </c>
      <c r="H19" s="35">
        <v>45658</v>
      </c>
      <c r="I19" s="7"/>
      <c r="J19" s="6" t="s">
        <v>24</v>
      </c>
      <c r="K19" s="8" t="s">
        <v>25</v>
      </c>
      <c r="L19" s="54">
        <f t="shared" si="3"/>
        <v>0</v>
      </c>
    </row>
    <row r="20" spans="1:12" hidden="1" x14ac:dyDescent="0.2">
      <c r="A20" s="5" t="s">
        <v>201</v>
      </c>
      <c r="B20" s="6" t="s">
        <v>214</v>
      </c>
      <c r="C20" s="6" t="s">
        <v>215</v>
      </c>
      <c r="D20" s="6" t="s">
        <v>622</v>
      </c>
      <c r="E20" s="6" t="s">
        <v>209</v>
      </c>
      <c r="F20" s="6"/>
      <c r="G20" s="49">
        <v>16957229.109999999</v>
      </c>
      <c r="H20" s="35">
        <v>45658</v>
      </c>
      <c r="I20" s="7"/>
      <c r="J20" s="6" t="s">
        <v>24</v>
      </c>
      <c r="K20" s="8" t="s">
        <v>25</v>
      </c>
      <c r="L20" s="54">
        <f t="shared" si="3"/>
        <v>0</v>
      </c>
    </row>
    <row r="21" spans="1:12" hidden="1" x14ac:dyDescent="0.2">
      <c r="A21" s="5" t="s">
        <v>15</v>
      </c>
      <c r="B21" s="6" t="s">
        <v>16</v>
      </c>
      <c r="C21" s="6" t="s">
        <v>37</v>
      </c>
      <c r="D21" s="6" t="s">
        <v>622</v>
      </c>
      <c r="E21" s="6" t="s">
        <v>621</v>
      </c>
      <c r="F21" s="6" t="s">
        <v>43</v>
      </c>
      <c r="G21" s="49">
        <v>16885068.449999999</v>
      </c>
      <c r="H21" s="35">
        <v>45658</v>
      </c>
      <c r="I21" s="7"/>
      <c r="J21" s="6" t="s">
        <v>24</v>
      </c>
      <c r="K21" s="8" t="s">
        <v>25</v>
      </c>
      <c r="L21" s="54">
        <f t="shared" si="3"/>
        <v>0</v>
      </c>
    </row>
    <row r="22" spans="1:12" hidden="1" x14ac:dyDescent="0.2">
      <c r="A22" s="9" t="s">
        <v>263</v>
      </c>
      <c r="B22" s="10" t="s">
        <v>264</v>
      </c>
      <c r="C22" s="10" t="e">
        <f>Data_BI!#REF!</f>
        <v>#REF!</v>
      </c>
      <c r="D22" s="6" t="s">
        <v>622</v>
      </c>
      <c r="E22" s="6" t="s">
        <v>621</v>
      </c>
      <c r="F22" s="10" t="s">
        <v>298</v>
      </c>
      <c r="G22" s="48">
        <v>16056714.380000001</v>
      </c>
      <c r="H22" s="36">
        <v>45658</v>
      </c>
      <c r="I22" s="11" t="s">
        <v>268</v>
      </c>
      <c r="J22" s="10" t="s">
        <v>24</v>
      </c>
      <c r="K22" s="8" t="s">
        <v>266</v>
      </c>
      <c r="L22" s="54">
        <f t="shared" si="3"/>
        <v>0</v>
      </c>
    </row>
    <row r="23" spans="1:12" hidden="1" x14ac:dyDescent="0.2">
      <c r="A23" s="9" t="s">
        <v>15</v>
      </c>
      <c r="B23" s="10" t="s">
        <v>16</v>
      </c>
      <c r="C23" s="10" t="s">
        <v>37</v>
      </c>
      <c r="D23" s="10" t="s">
        <v>38</v>
      </c>
      <c r="E23" s="6" t="s">
        <v>621</v>
      </c>
      <c r="F23" s="10" t="s">
        <v>42</v>
      </c>
      <c r="G23" s="48">
        <v>14925083.59</v>
      </c>
      <c r="H23" s="36">
        <v>45658</v>
      </c>
      <c r="I23" s="11"/>
      <c r="J23" s="10" t="s">
        <v>24</v>
      </c>
      <c r="K23" s="12" t="s">
        <v>25</v>
      </c>
      <c r="L23" s="54">
        <f t="shared" si="3"/>
        <v>0</v>
      </c>
    </row>
    <row r="24" spans="1:12" hidden="1" x14ac:dyDescent="0.2">
      <c r="A24" s="9" t="s">
        <v>201</v>
      </c>
      <c r="B24" s="10" t="s">
        <v>202</v>
      </c>
      <c r="C24" s="10" t="s">
        <v>203</v>
      </c>
      <c r="D24" s="6" t="s">
        <v>622</v>
      </c>
      <c r="E24" s="6" t="s">
        <v>207</v>
      </c>
      <c r="F24" s="10"/>
      <c r="G24" s="48">
        <v>13740363.730000379</v>
      </c>
      <c r="H24" s="36">
        <v>45658</v>
      </c>
      <c r="I24" s="11"/>
      <c r="J24" s="10" t="s">
        <v>24</v>
      </c>
      <c r="K24" s="12" t="s">
        <v>25</v>
      </c>
      <c r="L24" s="54">
        <f t="shared" ref="L24:L28" si="4">(ISNUMBER(G24))-1</f>
        <v>0</v>
      </c>
    </row>
    <row r="25" spans="1:12" hidden="1" x14ac:dyDescent="0.2">
      <c r="A25" s="5" t="s">
        <v>81</v>
      </c>
      <c r="B25" s="6" t="s">
        <v>82</v>
      </c>
      <c r="C25" s="6" t="s">
        <v>148</v>
      </c>
      <c r="D25" s="6" t="s">
        <v>38</v>
      </c>
      <c r="E25" s="6" t="s">
        <v>621</v>
      </c>
      <c r="F25" s="6" t="s">
        <v>166</v>
      </c>
      <c r="G25" s="49">
        <v>13370604.32</v>
      </c>
      <c r="H25" s="35">
        <v>45658</v>
      </c>
      <c r="I25" s="7"/>
      <c r="J25" s="6" t="s">
        <v>24</v>
      </c>
      <c r="K25" s="8" t="s">
        <v>25</v>
      </c>
      <c r="L25" s="54">
        <f t="shared" si="4"/>
        <v>0</v>
      </c>
    </row>
    <row r="26" spans="1:12" hidden="1" x14ac:dyDescent="0.2">
      <c r="A26" s="5" t="s">
        <v>263</v>
      </c>
      <c r="B26" s="6" t="s">
        <v>264</v>
      </c>
      <c r="C26" s="6" t="str">
        <f>Data_BI!$B10</f>
        <v>Безнал</v>
      </c>
      <c r="D26" s="6" t="s">
        <v>622</v>
      </c>
      <c r="E26" s="6" t="s">
        <v>621</v>
      </c>
      <c r="F26" s="6" t="s">
        <v>297</v>
      </c>
      <c r="G26" s="49">
        <v>13264965.07</v>
      </c>
      <c r="H26" s="35">
        <v>45658</v>
      </c>
      <c r="I26" s="7" t="s">
        <v>268</v>
      </c>
      <c r="J26" s="6" t="s">
        <v>24</v>
      </c>
      <c r="K26" s="8" t="s">
        <v>266</v>
      </c>
      <c r="L26" s="54">
        <f t="shared" si="4"/>
        <v>0</v>
      </c>
    </row>
    <row r="27" spans="1:12" hidden="1" x14ac:dyDescent="0.2">
      <c r="A27" s="9" t="s">
        <v>201</v>
      </c>
      <c r="B27" s="10" t="s">
        <v>202</v>
      </c>
      <c r="C27" s="10" t="s">
        <v>203</v>
      </c>
      <c r="D27" s="6" t="s">
        <v>622</v>
      </c>
      <c r="E27" s="6" t="s">
        <v>204</v>
      </c>
      <c r="F27" s="10"/>
      <c r="G27" s="48">
        <v>12068885.949999999</v>
      </c>
      <c r="H27" s="36">
        <v>45658</v>
      </c>
      <c r="I27" s="11"/>
      <c r="J27" s="10" t="s">
        <v>24</v>
      </c>
      <c r="K27" s="12" t="s">
        <v>25</v>
      </c>
      <c r="L27" s="54">
        <f t="shared" si="4"/>
        <v>0</v>
      </c>
    </row>
    <row r="28" spans="1:12" hidden="1" x14ac:dyDescent="0.2">
      <c r="A28" s="9" t="s">
        <v>201</v>
      </c>
      <c r="B28" s="10" t="s">
        <v>202</v>
      </c>
      <c r="C28" s="10" t="s">
        <v>203</v>
      </c>
      <c r="D28" s="6" t="s">
        <v>622</v>
      </c>
      <c r="E28" s="6" t="s">
        <v>209</v>
      </c>
      <c r="F28" s="10"/>
      <c r="G28" s="48">
        <v>10073947.630000001</v>
      </c>
      <c r="H28" s="36">
        <v>45658</v>
      </c>
      <c r="I28" s="11"/>
      <c r="J28" s="10" t="s">
        <v>24</v>
      </c>
      <c r="K28" s="12" t="s">
        <v>25</v>
      </c>
      <c r="L28" s="54">
        <f t="shared" si="4"/>
        <v>0</v>
      </c>
    </row>
    <row r="29" spans="1:12" hidden="1" x14ac:dyDescent="0.2">
      <c r="A29" s="9" t="s">
        <v>81</v>
      </c>
      <c r="B29" s="10" t="s">
        <v>82</v>
      </c>
      <c r="C29" s="10" t="s">
        <v>115</v>
      </c>
      <c r="D29" s="10" t="s">
        <v>30</v>
      </c>
      <c r="E29" s="6" t="s">
        <v>621</v>
      </c>
      <c r="F29" s="10" t="s">
        <v>141</v>
      </c>
      <c r="G29" s="48">
        <v>9561615.6199999992</v>
      </c>
      <c r="H29" s="36">
        <v>45658</v>
      </c>
      <c r="I29" s="11"/>
      <c r="J29" s="10" t="s">
        <v>24</v>
      </c>
      <c r="K29" s="12" t="s">
        <v>25</v>
      </c>
      <c r="L29" s="54">
        <f t="shared" ref="L29:L32" si="5">(ISNUMBER(G29))-1</f>
        <v>0</v>
      </c>
    </row>
    <row r="30" spans="1:12" hidden="1" x14ac:dyDescent="0.2">
      <c r="A30" s="9" t="s">
        <v>15</v>
      </c>
      <c r="B30" s="10" t="s">
        <v>16</v>
      </c>
      <c r="C30" s="10" t="s">
        <v>34</v>
      </c>
      <c r="D30" s="10" t="s">
        <v>30</v>
      </c>
      <c r="E30" s="6" t="s">
        <v>621</v>
      </c>
      <c r="F30" s="10" t="s">
        <v>36</v>
      </c>
      <c r="G30" s="48">
        <v>9451298.8699999992</v>
      </c>
      <c r="H30" s="36">
        <v>45658</v>
      </c>
      <c r="I30" s="11"/>
      <c r="J30" s="10" t="s">
        <v>24</v>
      </c>
      <c r="K30" s="12" t="s">
        <v>25</v>
      </c>
      <c r="L30" s="54">
        <f t="shared" si="5"/>
        <v>0</v>
      </c>
    </row>
    <row r="31" spans="1:12" hidden="1" x14ac:dyDescent="0.2">
      <c r="A31" s="9" t="s">
        <v>81</v>
      </c>
      <c r="B31" s="10" t="s">
        <v>82</v>
      </c>
      <c r="C31" s="10" t="s">
        <v>148</v>
      </c>
      <c r="D31" s="10" t="s">
        <v>38</v>
      </c>
      <c r="E31" s="6" t="s">
        <v>621</v>
      </c>
      <c r="F31" s="10" t="s">
        <v>165</v>
      </c>
      <c r="G31" s="48">
        <v>8963055.7400000002</v>
      </c>
      <c r="H31" s="36">
        <v>45658</v>
      </c>
      <c r="I31" s="11"/>
      <c r="J31" s="10" t="s">
        <v>24</v>
      </c>
      <c r="K31" s="12" t="s">
        <v>25</v>
      </c>
      <c r="L31" s="54">
        <f t="shared" si="5"/>
        <v>0</v>
      </c>
    </row>
    <row r="32" spans="1:12" hidden="1" x14ac:dyDescent="0.2">
      <c r="A32" s="9" t="s">
        <v>263</v>
      </c>
      <c r="B32" s="10" t="s">
        <v>264</v>
      </c>
      <c r="C32" s="10" t="e">
        <f>Data_BI!#REF!</f>
        <v>#REF!</v>
      </c>
      <c r="D32" s="6" t="s">
        <v>622</v>
      </c>
      <c r="E32" s="6" t="s">
        <v>621</v>
      </c>
      <c r="F32" s="10" t="s">
        <v>270</v>
      </c>
      <c r="G32" s="48">
        <v>8740484.3399999999</v>
      </c>
      <c r="H32" s="36">
        <v>45658</v>
      </c>
      <c r="I32" s="11" t="s">
        <v>268</v>
      </c>
      <c r="J32" s="10" t="s">
        <v>24</v>
      </c>
      <c r="K32" s="8" t="s">
        <v>266</v>
      </c>
      <c r="L32" s="54">
        <f t="shared" si="5"/>
        <v>0</v>
      </c>
    </row>
    <row r="33" spans="1:12" hidden="1" x14ac:dyDescent="0.2">
      <c r="A33" s="9" t="s">
        <v>201</v>
      </c>
      <c r="B33" s="10" t="s">
        <v>202</v>
      </c>
      <c r="C33" s="10" t="s">
        <v>203</v>
      </c>
      <c r="D33" s="6" t="s">
        <v>622</v>
      </c>
      <c r="E33" s="6" t="s">
        <v>204</v>
      </c>
      <c r="F33" s="10"/>
      <c r="G33" s="48">
        <v>7527124.0899999999</v>
      </c>
      <c r="H33" s="36">
        <v>45658</v>
      </c>
      <c r="I33" s="11"/>
      <c r="J33" s="10" t="s">
        <v>24</v>
      </c>
      <c r="K33" s="12" t="s">
        <v>25</v>
      </c>
      <c r="L33" s="54">
        <f t="shared" ref="L33:L36" si="6">(ISNUMBER(G33))-1</f>
        <v>0</v>
      </c>
    </row>
    <row r="34" spans="1:12" hidden="1" x14ac:dyDescent="0.2">
      <c r="A34" s="5" t="s">
        <v>81</v>
      </c>
      <c r="B34" s="6" t="s">
        <v>82</v>
      </c>
      <c r="C34" s="6" t="s">
        <v>115</v>
      </c>
      <c r="D34" s="6" t="s">
        <v>30</v>
      </c>
      <c r="E34" s="6" t="s">
        <v>621</v>
      </c>
      <c r="F34" s="6" t="s">
        <v>147</v>
      </c>
      <c r="G34" s="49">
        <v>7286208.4900000002</v>
      </c>
      <c r="H34" s="35">
        <v>45658</v>
      </c>
      <c r="I34" s="7"/>
      <c r="J34" s="6" t="s">
        <v>24</v>
      </c>
      <c r="K34" s="8" t="s">
        <v>25</v>
      </c>
      <c r="L34" s="54">
        <f t="shared" si="6"/>
        <v>0</v>
      </c>
    </row>
    <row r="35" spans="1:12" hidden="1" x14ac:dyDescent="0.2">
      <c r="A35" s="5" t="s">
        <v>81</v>
      </c>
      <c r="B35" s="6" t="s">
        <v>82</v>
      </c>
      <c r="C35" s="6" t="s">
        <v>148</v>
      </c>
      <c r="D35" s="6" t="s">
        <v>38</v>
      </c>
      <c r="E35" s="6" t="s">
        <v>621</v>
      </c>
      <c r="F35" s="6" t="s">
        <v>164</v>
      </c>
      <c r="G35" s="49">
        <v>7227344.5799999898</v>
      </c>
      <c r="H35" s="35">
        <v>45658</v>
      </c>
      <c r="I35" s="7"/>
      <c r="J35" s="6" t="s">
        <v>24</v>
      </c>
      <c r="K35" s="8" t="s">
        <v>25</v>
      </c>
      <c r="L35" s="54">
        <f t="shared" si="6"/>
        <v>0</v>
      </c>
    </row>
    <row r="36" spans="1:12" hidden="1" x14ac:dyDescent="0.2">
      <c r="A36" s="5" t="s">
        <v>263</v>
      </c>
      <c r="B36" s="6" t="s">
        <v>264</v>
      </c>
      <c r="C36" s="6" t="e">
        <f>Data_BI!#REF!</f>
        <v>#REF!</v>
      </c>
      <c r="D36" s="6" t="s">
        <v>622</v>
      </c>
      <c r="E36" s="6" t="s">
        <v>621</v>
      </c>
      <c r="F36" s="6" t="s">
        <v>288</v>
      </c>
      <c r="G36" s="49">
        <v>6526218.4400000004</v>
      </c>
      <c r="H36" s="35">
        <v>45658</v>
      </c>
      <c r="I36" s="7"/>
      <c r="J36" s="6" t="s">
        <v>24</v>
      </c>
      <c r="K36" s="8" t="s">
        <v>266</v>
      </c>
      <c r="L36" s="54">
        <f t="shared" si="6"/>
        <v>0</v>
      </c>
    </row>
    <row r="37" spans="1:12" hidden="1" x14ac:dyDescent="0.2">
      <c r="A37" s="9" t="s">
        <v>81</v>
      </c>
      <c r="B37" s="10" t="s">
        <v>82</v>
      </c>
      <c r="C37" s="10" t="s">
        <v>148</v>
      </c>
      <c r="D37" s="10" t="s">
        <v>38</v>
      </c>
      <c r="E37" s="6" t="s">
        <v>621</v>
      </c>
      <c r="F37" s="10" t="s">
        <v>163</v>
      </c>
      <c r="G37" s="48">
        <v>5530150</v>
      </c>
      <c r="H37" s="36">
        <v>45658</v>
      </c>
      <c r="I37" s="11"/>
      <c r="J37" s="10" t="s">
        <v>24</v>
      </c>
      <c r="K37" s="12" t="s">
        <v>25</v>
      </c>
      <c r="L37" s="54">
        <f t="shared" ref="L37:L42" si="7">(ISNUMBER(G37))-1</f>
        <v>0</v>
      </c>
    </row>
    <row r="38" spans="1:12" hidden="1" x14ac:dyDescent="0.2">
      <c r="A38" s="9" t="s">
        <v>263</v>
      </c>
      <c r="B38" s="10" t="s">
        <v>264</v>
      </c>
      <c r="C38" s="10" t="e">
        <f>Data_BI!#REF!</f>
        <v>#REF!</v>
      </c>
      <c r="D38" s="10" t="s">
        <v>38</v>
      </c>
      <c r="E38" s="6" t="s">
        <v>621</v>
      </c>
      <c r="F38" s="10" t="s">
        <v>296</v>
      </c>
      <c r="G38" s="48">
        <v>5457123.8600000003</v>
      </c>
      <c r="H38" s="36">
        <v>45658</v>
      </c>
      <c r="I38" s="11"/>
      <c r="J38" s="10" t="s">
        <v>24</v>
      </c>
      <c r="K38" s="8" t="s">
        <v>266</v>
      </c>
      <c r="L38" s="54">
        <f t="shared" si="7"/>
        <v>0</v>
      </c>
    </row>
    <row r="39" spans="1:12" hidden="1" x14ac:dyDescent="0.2">
      <c r="A39" s="5" t="s">
        <v>248</v>
      </c>
      <c r="B39" s="6" t="s">
        <v>249</v>
      </c>
      <c r="C39" s="6" t="s">
        <v>250</v>
      </c>
      <c r="D39" s="6" t="s">
        <v>622</v>
      </c>
      <c r="E39" s="6" t="s">
        <v>621</v>
      </c>
      <c r="F39" s="6" t="s">
        <v>251</v>
      </c>
      <c r="G39" s="49">
        <v>5312300</v>
      </c>
      <c r="H39" s="35">
        <v>45658</v>
      </c>
      <c r="I39" s="7"/>
      <c r="J39" s="6" t="s">
        <v>24</v>
      </c>
      <c r="K39" s="8" t="s">
        <v>25</v>
      </c>
      <c r="L39" s="54">
        <f t="shared" si="7"/>
        <v>0</v>
      </c>
    </row>
    <row r="40" spans="1:12" hidden="1" x14ac:dyDescent="0.2">
      <c r="A40" s="5" t="s">
        <v>15</v>
      </c>
      <c r="B40" s="6" t="s">
        <v>16</v>
      </c>
      <c r="C40" s="6" t="s">
        <v>37</v>
      </c>
      <c r="D40" s="6" t="s">
        <v>622</v>
      </c>
      <c r="E40" s="6" t="s">
        <v>621</v>
      </c>
      <c r="F40" s="6" t="s">
        <v>41</v>
      </c>
      <c r="G40" s="49">
        <v>5246340.2699999996</v>
      </c>
      <c r="H40" s="35">
        <v>45658</v>
      </c>
      <c r="I40" s="7"/>
      <c r="J40" s="6" t="s">
        <v>24</v>
      </c>
      <c r="K40" s="8" t="s">
        <v>25</v>
      </c>
      <c r="L40" s="54">
        <f t="shared" si="7"/>
        <v>0</v>
      </c>
    </row>
    <row r="41" spans="1:12" hidden="1" x14ac:dyDescent="0.2">
      <c r="A41" s="9" t="s">
        <v>81</v>
      </c>
      <c r="B41" s="10" t="s">
        <v>82</v>
      </c>
      <c r="C41" s="10" t="s">
        <v>115</v>
      </c>
      <c r="D41" s="6" t="s">
        <v>622</v>
      </c>
      <c r="E41" s="6" t="s">
        <v>621</v>
      </c>
      <c r="F41" s="10" t="s">
        <v>146</v>
      </c>
      <c r="G41" s="48">
        <v>4957545.01</v>
      </c>
      <c r="H41" s="36">
        <v>45658</v>
      </c>
      <c r="I41" s="11"/>
      <c r="J41" s="10" t="s">
        <v>24</v>
      </c>
      <c r="K41" s="12" t="s">
        <v>25</v>
      </c>
      <c r="L41" s="54">
        <f t="shared" si="7"/>
        <v>0</v>
      </c>
    </row>
    <row r="42" spans="1:12" hidden="1" x14ac:dyDescent="0.2">
      <c r="A42" s="5" t="s">
        <v>263</v>
      </c>
      <c r="B42" s="6" t="s">
        <v>264</v>
      </c>
      <c r="C42" s="6" t="e">
        <f>Data_BI!#REF!</f>
        <v>#REF!</v>
      </c>
      <c r="D42" s="6" t="s">
        <v>622</v>
      </c>
      <c r="E42" s="6" t="s">
        <v>621</v>
      </c>
      <c r="F42" s="6" t="s">
        <v>295</v>
      </c>
      <c r="G42" s="49">
        <v>4946432.4000000004</v>
      </c>
      <c r="H42" s="35">
        <v>45658</v>
      </c>
      <c r="I42" s="7" t="s">
        <v>268</v>
      </c>
      <c r="J42" s="6" t="s">
        <v>24</v>
      </c>
      <c r="K42" s="8" t="s">
        <v>266</v>
      </c>
      <c r="L42" s="54">
        <f t="shared" si="7"/>
        <v>0</v>
      </c>
    </row>
    <row r="43" spans="1:12" hidden="1" x14ac:dyDescent="0.2">
      <c r="A43" s="9" t="s">
        <v>15</v>
      </c>
      <c r="B43" s="10" t="s">
        <v>16</v>
      </c>
      <c r="C43" s="10" t="s">
        <v>46</v>
      </c>
      <c r="D43" s="6" t="s">
        <v>622</v>
      </c>
      <c r="E43" s="6" t="s">
        <v>621</v>
      </c>
      <c r="F43" s="10" t="s">
        <v>60</v>
      </c>
      <c r="G43" s="48">
        <v>4881244.18</v>
      </c>
      <c r="H43" s="36">
        <v>45658</v>
      </c>
      <c r="I43" s="11"/>
      <c r="J43" s="10" t="s">
        <v>24</v>
      </c>
      <c r="K43" s="12" t="s">
        <v>25</v>
      </c>
      <c r="L43" s="54">
        <f t="shared" ref="L43:L45" si="8">(ISNUMBER(G43))-1</f>
        <v>0</v>
      </c>
    </row>
    <row r="44" spans="1:12" hidden="1" x14ac:dyDescent="0.2">
      <c r="A44" s="5" t="s">
        <v>201</v>
      </c>
      <c r="B44" s="6" t="s">
        <v>202</v>
      </c>
      <c r="C44" s="6" t="s">
        <v>203</v>
      </c>
      <c r="D44" s="6" t="s">
        <v>622</v>
      </c>
      <c r="E44" s="6" t="s">
        <v>208</v>
      </c>
      <c r="F44" s="6"/>
      <c r="G44" s="49">
        <v>4623720.6500000004</v>
      </c>
      <c r="H44" s="35">
        <v>45658</v>
      </c>
      <c r="I44" s="7"/>
      <c r="J44" s="6" t="s">
        <v>24</v>
      </c>
      <c r="K44" s="8" t="s">
        <v>25</v>
      </c>
      <c r="L44" s="54">
        <f t="shared" si="8"/>
        <v>0</v>
      </c>
    </row>
    <row r="45" spans="1:12" hidden="1" x14ac:dyDescent="0.2">
      <c r="A45" s="9" t="s">
        <v>81</v>
      </c>
      <c r="B45" s="10" t="s">
        <v>82</v>
      </c>
      <c r="C45" s="10" t="s">
        <v>103</v>
      </c>
      <c r="D45" s="6" t="s">
        <v>622</v>
      </c>
      <c r="E45" s="6" t="s">
        <v>621</v>
      </c>
      <c r="F45" s="10" t="s">
        <v>107</v>
      </c>
      <c r="G45" s="48">
        <v>4257789.18</v>
      </c>
      <c r="H45" s="36">
        <v>45658</v>
      </c>
      <c r="I45" s="11"/>
      <c r="J45" s="10" t="s">
        <v>24</v>
      </c>
      <c r="K45" s="12" t="s">
        <v>25</v>
      </c>
      <c r="L45" s="54">
        <f t="shared" si="8"/>
        <v>0</v>
      </c>
    </row>
    <row r="46" spans="1:12" hidden="1" x14ac:dyDescent="0.2">
      <c r="A46" s="9" t="s">
        <v>263</v>
      </c>
      <c r="B46" s="10" t="s">
        <v>264</v>
      </c>
      <c r="C46" s="10" t="e">
        <f>Data_BI!#REF!</f>
        <v>#REF!</v>
      </c>
      <c r="D46" s="10" t="s">
        <v>30</v>
      </c>
      <c r="E46" s="6" t="s">
        <v>621</v>
      </c>
      <c r="F46" s="10" t="s">
        <v>294</v>
      </c>
      <c r="G46" s="48">
        <v>4076384.09</v>
      </c>
      <c r="H46" s="36">
        <v>45658</v>
      </c>
      <c r="I46" s="11"/>
      <c r="J46" s="10" t="s">
        <v>24</v>
      </c>
      <c r="K46" s="8" t="s">
        <v>266</v>
      </c>
      <c r="L46" s="54">
        <f t="shared" ref="L46:L48" si="9">(ISNUMBER(G46))-1</f>
        <v>0</v>
      </c>
    </row>
    <row r="47" spans="1:12" hidden="1" x14ac:dyDescent="0.2">
      <c r="A47" s="5" t="s">
        <v>81</v>
      </c>
      <c r="B47" s="6" t="s">
        <v>82</v>
      </c>
      <c r="C47" s="6" t="s">
        <v>96</v>
      </c>
      <c r="D47" s="6" t="s">
        <v>30</v>
      </c>
      <c r="E47" s="6" t="s">
        <v>621</v>
      </c>
      <c r="F47" s="6" t="s">
        <v>98</v>
      </c>
      <c r="G47" s="49">
        <v>3885664.37</v>
      </c>
      <c r="H47" s="35">
        <v>45658</v>
      </c>
      <c r="I47" s="7"/>
      <c r="J47" s="6" t="s">
        <v>24</v>
      </c>
      <c r="K47" s="8" t="s">
        <v>25</v>
      </c>
      <c r="L47" s="54">
        <f t="shared" si="9"/>
        <v>0</v>
      </c>
    </row>
    <row r="48" spans="1:12" hidden="1" x14ac:dyDescent="0.2">
      <c r="A48" s="5" t="s">
        <v>263</v>
      </c>
      <c r="B48" s="6" t="s">
        <v>264</v>
      </c>
      <c r="C48" s="6" t="e">
        <f>Data_BI!#REF!</f>
        <v>#REF!</v>
      </c>
      <c r="D48" s="6" t="s">
        <v>38</v>
      </c>
      <c r="E48" s="6" t="s">
        <v>621</v>
      </c>
      <c r="F48" s="6" t="s">
        <v>293</v>
      </c>
      <c r="G48" s="49">
        <v>3871582.79</v>
      </c>
      <c r="H48" s="35">
        <v>45658</v>
      </c>
      <c r="I48" s="7"/>
      <c r="J48" s="6" t="s">
        <v>24</v>
      </c>
      <c r="K48" s="8" t="s">
        <v>266</v>
      </c>
      <c r="L48" s="54">
        <f t="shared" si="9"/>
        <v>0</v>
      </c>
    </row>
    <row r="49" spans="1:12" hidden="1" x14ac:dyDescent="0.2">
      <c r="A49" s="9" t="s">
        <v>221</v>
      </c>
      <c r="B49" s="10" t="s">
        <v>222</v>
      </c>
      <c r="C49" s="10" t="s">
        <v>222</v>
      </c>
      <c r="D49" s="6" t="s">
        <v>622</v>
      </c>
      <c r="E49" s="6" t="s">
        <v>621</v>
      </c>
      <c r="F49" s="10" t="s">
        <v>229</v>
      </c>
      <c r="G49" s="48">
        <v>3592109.06</v>
      </c>
      <c r="H49" s="36">
        <v>45658</v>
      </c>
      <c r="I49" s="11"/>
      <c r="J49" s="10" t="s">
        <v>24</v>
      </c>
      <c r="K49" s="12" t="s">
        <v>25</v>
      </c>
      <c r="L49" s="54">
        <f t="shared" ref="L49:L52" si="10">(ISNUMBER(G49))-1</f>
        <v>0</v>
      </c>
    </row>
    <row r="50" spans="1:12" hidden="1" x14ac:dyDescent="0.2">
      <c r="A50" s="9" t="s">
        <v>81</v>
      </c>
      <c r="B50" s="10" t="s">
        <v>82</v>
      </c>
      <c r="C50" s="10" t="s">
        <v>96</v>
      </c>
      <c r="D50" s="10" t="s">
        <v>30</v>
      </c>
      <c r="E50" s="6" t="s">
        <v>621</v>
      </c>
      <c r="F50" s="10" t="s">
        <v>97</v>
      </c>
      <c r="G50" s="48">
        <v>3462518.12</v>
      </c>
      <c r="H50" s="36">
        <v>45658</v>
      </c>
      <c r="I50" s="11"/>
      <c r="J50" s="10" t="s">
        <v>24</v>
      </c>
      <c r="K50" s="12" t="s">
        <v>25</v>
      </c>
      <c r="L50" s="54">
        <f t="shared" si="10"/>
        <v>0</v>
      </c>
    </row>
    <row r="51" spans="1:12" hidden="1" x14ac:dyDescent="0.2">
      <c r="A51" s="9" t="s">
        <v>263</v>
      </c>
      <c r="B51" s="10" t="s">
        <v>264</v>
      </c>
      <c r="C51" s="10" t="e">
        <f>Data_BI!#REF!</f>
        <v>#REF!</v>
      </c>
      <c r="D51" s="6" t="s">
        <v>622</v>
      </c>
      <c r="E51" s="6" t="s">
        <v>621</v>
      </c>
      <c r="F51" s="10" t="s">
        <v>292</v>
      </c>
      <c r="G51" s="48">
        <v>3269723.72</v>
      </c>
      <c r="H51" s="36">
        <v>45658</v>
      </c>
      <c r="I51" s="11" t="s">
        <v>268</v>
      </c>
      <c r="J51" s="10" t="s">
        <v>24</v>
      </c>
      <c r="K51" s="8" t="s">
        <v>266</v>
      </c>
      <c r="L51" s="54">
        <f t="shared" si="10"/>
        <v>0</v>
      </c>
    </row>
    <row r="52" spans="1:12" hidden="1" x14ac:dyDescent="0.2">
      <c r="A52" s="9" t="s">
        <v>201</v>
      </c>
      <c r="B52" s="10" t="s">
        <v>202</v>
      </c>
      <c r="C52" s="10" t="s">
        <v>203</v>
      </c>
      <c r="D52" s="6" t="s">
        <v>622</v>
      </c>
      <c r="E52" s="6" t="s">
        <v>209</v>
      </c>
      <c r="F52" s="10"/>
      <c r="G52" s="48">
        <v>3176939.8299999898</v>
      </c>
      <c r="H52" s="36">
        <v>45658</v>
      </c>
      <c r="I52" s="11"/>
      <c r="J52" s="10" t="s">
        <v>24</v>
      </c>
      <c r="K52" s="12" t="s">
        <v>25</v>
      </c>
      <c r="L52" s="54">
        <f t="shared" si="10"/>
        <v>0</v>
      </c>
    </row>
    <row r="53" spans="1:12" hidden="1" x14ac:dyDescent="0.2">
      <c r="A53" s="5" t="s">
        <v>15</v>
      </c>
      <c r="B53" s="6" t="s">
        <v>16</v>
      </c>
      <c r="C53" s="6" t="s">
        <v>29</v>
      </c>
      <c r="D53" s="6" t="s">
        <v>30</v>
      </c>
      <c r="E53" s="6" t="s">
        <v>621</v>
      </c>
      <c r="F53" s="6" t="s">
        <v>31</v>
      </c>
      <c r="G53" s="49">
        <v>3094958.35</v>
      </c>
      <c r="H53" s="35">
        <v>45658</v>
      </c>
      <c r="I53" s="7"/>
      <c r="J53" s="6" t="s">
        <v>24</v>
      </c>
      <c r="K53" s="8" t="s">
        <v>25</v>
      </c>
      <c r="L53" s="54">
        <f t="shared" ref="L53:L57" si="11">(ISNUMBER(G53))-1</f>
        <v>0</v>
      </c>
    </row>
    <row r="54" spans="1:12" hidden="1" x14ac:dyDescent="0.2">
      <c r="A54" s="5" t="s">
        <v>201</v>
      </c>
      <c r="B54" s="6" t="s">
        <v>202</v>
      </c>
      <c r="C54" s="6" t="s">
        <v>203</v>
      </c>
      <c r="D54" s="6" t="s">
        <v>622</v>
      </c>
      <c r="E54" s="6" t="s">
        <v>206</v>
      </c>
      <c r="F54" s="6"/>
      <c r="G54" s="49">
        <v>2978636</v>
      </c>
      <c r="H54" s="35">
        <v>45658</v>
      </c>
      <c r="I54" s="7"/>
      <c r="J54" s="6" t="s">
        <v>24</v>
      </c>
      <c r="K54" s="8" t="s">
        <v>25</v>
      </c>
      <c r="L54" s="54">
        <f t="shared" si="11"/>
        <v>0</v>
      </c>
    </row>
    <row r="55" spans="1:12" hidden="1" x14ac:dyDescent="0.2">
      <c r="A55" s="5" t="s">
        <v>15</v>
      </c>
      <c r="B55" s="6" t="s">
        <v>16</v>
      </c>
      <c r="C55" s="6" t="s">
        <v>46</v>
      </c>
      <c r="D55" s="6" t="s">
        <v>622</v>
      </c>
      <c r="E55" s="6" t="s">
        <v>621</v>
      </c>
      <c r="F55" s="6" t="s">
        <v>59</v>
      </c>
      <c r="G55" s="49">
        <v>2969466.84</v>
      </c>
      <c r="H55" s="35">
        <v>45658</v>
      </c>
      <c r="I55" s="7"/>
      <c r="J55" s="6" t="s">
        <v>24</v>
      </c>
      <c r="K55" s="8" t="s">
        <v>25</v>
      </c>
      <c r="L55" s="54">
        <f t="shared" si="11"/>
        <v>0</v>
      </c>
    </row>
    <row r="56" spans="1:12" hidden="1" x14ac:dyDescent="0.2">
      <c r="A56" s="5" t="s">
        <v>263</v>
      </c>
      <c r="B56" s="6" t="s">
        <v>264</v>
      </c>
      <c r="C56" s="6" t="e">
        <f>Data_BI!#REF!</f>
        <v>#REF!</v>
      </c>
      <c r="D56" s="6" t="s">
        <v>622</v>
      </c>
      <c r="E56" s="6" t="s">
        <v>621</v>
      </c>
      <c r="F56" s="6" t="s">
        <v>291</v>
      </c>
      <c r="G56" s="49">
        <v>2923652.41</v>
      </c>
      <c r="H56" s="35">
        <v>45658</v>
      </c>
      <c r="I56" s="7" t="s">
        <v>268</v>
      </c>
      <c r="J56" s="6" t="s">
        <v>24</v>
      </c>
      <c r="K56" s="8" t="s">
        <v>266</v>
      </c>
      <c r="L56" s="54">
        <f t="shared" si="11"/>
        <v>0</v>
      </c>
    </row>
    <row r="57" spans="1:12" hidden="1" x14ac:dyDescent="0.2">
      <c r="A57" s="5" t="s">
        <v>201</v>
      </c>
      <c r="B57" s="6" t="s">
        <v>202</v>
      </c>
      <c r="C57" s="6" t="s">
        <v>203</v>
      </c>
      <c r="D57" s="6" t="s">
        <v>622</v>
      </c>
      <c r="E57" s="6" t="s">
        <v>206</v>
      </c>
      <c r="F57" s="6"/>
      <c r="G57" s="49">
        <v>2776328.0799999898</v>
      </c>
      <c r="H57" s="35">
        <v>45658</v>
      </c>
      <c r="I57" s="7"/>
      <c r="J57" s="6" t="s">
        <v>24</v>
      </c>
      <c r="K57" s="8" t="s">
        <v>25</v>
      </c>
      <c r="L57" s="54">
        <f t="shared" si="11"/>
        <v>0</v>
      </c>
    </row>
    <row r="58" spans="1:12" hidden="1" x14ac:dyDescent="0.2">
      <c r="A58" s="5" t="s">
        <v>81</v>
      </c>
      <c r="B58" s="6" t="s">
        <v>82</v>
      </c>
      <c r="C58" s="6" t="s">
        <v>148</v>
      </c>
      <c r="D58" s="6" t="s">
        <v>38</v>
      </c>
      <c r="E58" s="6" t="s">
        <v>621</v>
      </c>
      <c r="F58" s="6" t="s">
        <v>162</v>
      </c>
      <c r="G58" s="49">
        <v>2603349.0299999998</v>
      </c>
      <c r="H58" s="35">
        <v>45658</v>
      </c>
      <c r="I58" s="7"/>
      <c r="J58" s="6" t="s">
        <v>24</v>
      </c>
      <c r="K58" s="8" t="s">
        <v>25</v>
      </c>
      <c r="L58" s="54">
        <f t="shared" ref="L58:L60" si="12">(ISNUMBER(G58))-1</f>
        <v>0</v>
      </c>
    </row>
    <row r="59" spans="1:12" hidden="1" x14ac:dyDescent="0.2">
      <c r="A59" s="9" t="s">
        <v>81</v>
      </c>
      <c r="B59" s="10" t="s">
        <v>82</v>
      </c>
      <c r="C59" s="10" t="s">
        <v>99</v>
      </c>
      <c r="D59" s="6" t="s">
        <v>622</v>
      </c>
      <c r="E59" s="6" t="s">
        <v>621</v>
      </c>
      <c r="F59" s="10" t="s">
        <v>101</v>
      </c>
      <c r="G59" s="48">
        <v>2556377</v>
      </c>
      <c r="H59" s="36">
        <v>45658</v>
      </c>
      <c r="I59" s="11"/>
      <c r="J59" s="10" t="s">
        <v>24</v>
      </c>
      <c r="K59" s="12" t="s">
        <v>25</v>
      </c>
      <c r="L59" s="54">
        <f t="shared" si="12"/>
        <v>0</v>
      </c>
    </row>
    <row r="60" spans="1:12" hidden="1" x14ac:dyDescent="0.2">
      <c r="A60" s="5" t="s">
        <v>221</v>
      </c>
      <c r="B60" s="6" t="s">
        <v>222</v>
      </c>
      <c r="C60" s="6" t="s">
        <v>222</v>
      </c>
      <c r="D60" s="6" t="s">
        <v>622</v>
      </c>
      <c r="E60" s="6" t="s">
        <v>621</v>
      </c>
      <c r="F60" s="6" t="s">
        <v>228</v>
      </c>
      <c r="G60" s="49">
        <v>2533455.56</v>
      </c>
      <c r="H60" s="35">
        <v>45658</v>
      </c>
      <c r="I60" s="7"/>
      <c r="J60" s="6" t="s">
        <v>24</v>
      </c>
      <c r="K60" s="8" t="s">
        <v>25</v>
      </c>
      <c r="L60" s="54">
        <f t="shared" si="12"/>
        <v>0</v>
      </c>
    </row>
    <row r="61" spans="1:12" hidden="1" x14ac:dyDescent="0.2">
      <c r="A61" s="5" t="s">
        <v>201</v>
      </c>
      <c r="B61" s="6" t="s">
        <v>202</v>
      </c>
      <c r="C61" s="6" t="s">
        <v>203</v>
      </c>
      <c r="D61" s="6" t="s">
        <v>622</v>
      </c>
      <c r="E61" s="6" t="s">
        <v>205</v>
      </c>
      <c r="F61" s="6"/>
      <c r="G61" s="49">
        <v>2398957.0199999898</v>
      </c>
      <c r="H61" s="35">
        <v>45658</v>
      </c>
      <c r="I61" s="7"/>
      <c r="J61" s="6" t="s">
        <v>24</v>
      </c>
      <c r="K61" s="8" t="s">
        <v>25</v>
      </c>
      <c r="L61" s="54">
        <f t="shared" ref="L61:L64" si="13">(ISNUMBER(G61))-1</f>
        <v>0</v>
      </c>
    </row>
    <row r="62" spans="1:12" hidden="1" x14ac:dyDescent="0.2">
      <c r="A62" s="5" t="s">
        <v>81</v>
      </c>
      <c r="B62" s="6" t="s">
        <v>82</v>
      </c>
      <c r="C62" s="6" t="s">
        <v>83</v>
      </c>
      <c r="D62" s="6" t="s">
        <v>622</v>
      </c>
      <c r="E62" s="6" t="s">
        <v>621</v>
      </c>
      <c r="F62" s="6" t="s">
        <v>85</v>
      </c>
      <c r="G62" s="49">
        <v>2330907.89</v>
      </c>
      <c r="H62" s="35">
        <v>45658</v>
      </c>
      <c r="I62" s="7"/>
      <c r="J62" s="6" t="s">
        <v>24</v>
      </c>
      <c r="K62" s="8" t="s">
        <v>25</v>
      </c>
      <c r="L62" s="54">
        <f t="shared" si="13"/>
        <v>0</v>
      </c>
    </row>
    <row r="63" spans="1:12" hidden="1" x14ac:dyDescent="0.2">
      <c r="A63" s="9" t="s">
        <v>15</v>
      </c>
      <c r="B63" s="10" t="s">
        <v>16</v>
      </c>
      <c r="C63" s="10" t="s">
        <v>37</v>
      </c>
      <c r="D63" s="6" t="s">
        <v>622</v>
      </c>
      <c r="E63" s="6" t="s">
        <v>621</v>
      </c>
      <c r="F63" s="10" t="s">
        <v>40</v>
      </c>
      <c r="G63" s="48">
        <v>2278356.15</v>
      </c>
      <c r="H63" s="36">
        <v>45658</v>
      </c>
      <c r="I63" s="11"/>
      <c r="J63" s="10" t="s">
        <v>24</v>
      </c>
      <c r="K63" s="12" t="s">
        <v>25</v>
      </c>
      <c r="L63" s="54">
        <f t="shared" si="13"/>
        <v>0</v>
      </c>
    </row>
    <row r="64" spans="1:12" hidden="1" x14ac:dyDescent="0.2">
      <c r="A64" s="9" t="s">
        <v>201</v>
      </c>
      <c r="B64" s="10" t="s">
        <v>202</v>
      </c>
      <c r="C64" s="10" t="s">
        <v>203</v>
      </c>
      <c r="D64" s="6" t="s">
        <v>622</v>
      </c>
      <c r="E64" s="6" t="s">
        <v>208</v>
      </c>
      <c r="F64" s="10"/>
      <c r="G64" s="48">
        <v>2256651.98</v>
      </c>
      <c r="H64" s="36">
        <v>45658</v>
      </c>
      <c r="I64" s="11"/>
      <c r="J64" s="10" t="s">
        <v>24</v>
      </c>
      <c r="K64" s="12" t="s">
        <v>25</v>
      </c>
      <c r="L64" s="54">
        <f t="shared" si="13"/>
        <v>0</v>
      </c>
    </row>
    <row r="65" spans="1:12" hidden="1" x14ac:dyDescent="0.2">
      <c r="A65" s="9" t="s">
        <v>15</v>
      </c>
      <c r="B65" s="10" t="s">
        <v>16</v>
      </c>
      <c r="C65" s="10" t="s">
        <v>46</v>
      </c>
      <c r="D65" s="6" t="s">
        <v>622</v>
      </c>
      <c r="E65" s="6" t="s">
        <v>621</v>
      </c>
      <c r="F65" s="10" t="s">
        <v>58</v>
      </c>
      <c r="G65" s="48">
        <v>1840329.28</v>
      </c>
      <c r="H65" s="36">
        <v>45658</v>
      </c>
      <c r="I65" s="11"/>
      <c r="J65" s="10" t="s">
        <v>24</v>
      </c>
      <c r="K65" s="12" t="s">
        <v>25</v>
      </c>
      <c r="L65" s="54">
        <f t="shared" ref="L65:L69" si="14">(ISNUMBER(G65))-1</f>
        <v>0</v>
      </c>
    </row>
    <row r="66" spans="1:12" hidden="1" x14ac:dyDescent="0.2">
      <c r="A66" s="5" t="s">
        <v>81</v>
      </c>
      <c r="B66" s="6" t="s">
        <v>82</v>
      </c>
      <c r="C66" s="6" t="s">
        <v>99</v>
      </c>
      <c r="D66" s="6" t="s">
        <v>622</v>
      </c>
      <c r="E66" s="6" t="s">
        <v>621</v>
      </c>
      <c r="F66" s="6" t="s">
        <v>100</v>
      </c>
      <c r="G66" s="49">
        <v>1765000</v>
      </c>
      <c r="H66" s="35">
        <v>45658</v>
      </c>
      <c r="I66" s="7"/>
      <c r="J66" s="6" t="s">
        <v>24</v>
      </c>
      <c r="K66" s="8" t="s">
        <v>25</v>
      </c>
      <c r="L66" s="54">
        <f t="shared" si="14"/>
        <v>0</v>
      </c>
    </row>
    <row r="67" spans="1:12" hidden="1" x14ac:dyDescent="0.2">
      <c r="A67" s="9" t="s">
        <v>263</v>
      </c>
      <c r="B67" s="10" t="s">
        <v>264</v>
      </c>
      <c r="C67" s="10" t="str">
        <f>Data_BI!$B9</f>
        <v>Безнал</v>
      </c>
      <c r="D67" s="10" t="s">
        <v>30</v>
      </c>
      <c r="E67" s="6" t="s">
        <v>621</v>
      </c>
      <c r="F67" s="10" t="s">
        <v>290</v>
      </c>
      <c r="G67" s="48">
        <v>1727275.05</v>
      </c>
      <c r="H67" s="36">
        <v>45658</v>
      </c>
      <c r="I67" s="11" t="s">
        <v>268</v>
      </c>
      <c r="J67" s="10" t="s">
        <v>24</v>
      </c>
      <c r="K67" s="8" t="s">
        <v>266</v>
      </c>
      <c r="L67" s="54">
        <f t="shared" si="14"/>
        <v>0</v>
      </c>
    </row>
    <row r="68" spans="1:12" hidden="1" x14ac:dyDescent="0.2">
      <c r="A68" s="5" t="s">
        <v>81</v>
      </c>
      <c r="B68" s="6" t="s">
        <v>82</v>
      </c>
      <c r="C68" s="6" t="s">
        <v>115</v>
      </c>
      <c r="D68" s="6" t="s">
        <v>30</v>
      </c>
      <c r="E68" s="6" t="s">
        <v>621</v>
      </c>
      <c r="F68" s="6" t="s">
        <v>145</v>
      </c>
      <c r="G68" s="49">
        <v>1684148.76</v>
      </c>
      <c r="H68" s="35">
        <v>45658</v>
      </c>
      <c r="I68" s="7"/>
      <c r="J68" s="6" t="s">
        <v>24</v>
      </c>
      <c r="K68" s="8" t="s">
        <v>25</v>
      </c>
      <c r="L68" s="54">
        <f t="shared" si="14"/>
        <v>0</v>
      </c>
    </row>
    <row r="69" spans="1:12" hidden="1" x14ac:dyDescent="0.2">
      <c r="A69" s="9" t="s">
        <v>81</v>
      </c>
      <c r="B69" s="10" t="s">
        <v>82</v>
      </c>
      <c r="C69" s="10" t="s">
        <v>99</v>
      </c>
      <c r="D69" s="6" t="s">
        <v>622</v>
      </c>
      <c r="E69" s="6" t="s">
        <v>621</v>
      </c>
      <c r="F69" s="10" t="s">
        <v>102</v>
      </c>
      <c r="G69" s="48">
        <v>1653000</v>
      </c>
      <c r="H69" s="36">
        <v>45658</v>
      </c>
      <c r="I69" s="11"/>
      <c r="J69" s="10" t="s">
        <v>24</v>
      </c>
      <c r="K69" s="12" t="s">
        <v>25</v>
      </c>
      <c r="L69" s="54">
        <f t="shared" si="14"/>
        <v>0</v>
      </c>
    </row>
    <row r="70" spans="1:12" hidden="1" x14ac:dyDescent="0.2">
      <c r="A70" s="5" t="s">
        <v>15</v>
      </c>
      <c r="B70" s="6" t="s">
        <v>16</v>
      </c>
      <c r="C70" s="6" t="s">
        <v>46</v>
      </c>
      <c r="D70" s="6" t="s">
        <v>622</v>
      </c>
      <c r="E70" s="6" t="s">
        <v>621</v>
      </c>
      <c r="F70" s="6" t="s">
        <v>57</v>
      </c>
      <c r="G70" s="49">
        <v>1551520.21</v>
      </c>
      <c r="H70" s="35">
        <v>45658</v>
      </c>
      <c r="I70" s="7"/>
      <c r="J70" s="6" t="s">
        <v>24</v>
      </c>
      <c r="K70" s="8" t="s">
        <v>25</v>
      </c>
      <c r="L70" s="54">
        <f t="shared" ref="L70:L71" si="15">(ISNUMBER(G70))-1</f>
        <v>0</v>
      </c>
    </row>
    <row r="71" spans="1:12" hidden="1" x14ac:dyDescent="0.2">
      <c r="A71" s="9" t="s">
        <v>81</v>
      </c>
      <c r="B71" s="10" t="s">
        <v>82</v>
      </c>
      <c r="C71" s="10" t="s">
        <v>115</v>
      </c>
      <c r="D71" s="10" t="s">
        <v>30</v>
      </c>
      <c r="E71" s="6" t="s">
        <v>621</v>
      </c>
      <c r="F71" s="10" t="s">
        <v>118</v>
      </c>
      <c r="G71" s="48">
        <v>1476259.86</v>
      </c>
      <c r="H71" s="36">
        <v>45658</v>
      </c>
      <c r="I71" s="11"/>
      <c r="J71" s="10" t="s">
        <v>24</v>
      </c>
      <c r="K71" s="12" t="s">
        <v>25</v>
      </c>
      <c r="L71" s="54">
        <f t="shared" si="15"/>
        <v>0</v>
      </c>
    </row>
    <row r="72" spans="1:12" hidden="1" x14ac:dyDescent="0.2">
      <c r="A72" s="5" t="s">
        <v>201</v>
      </c>
      <c r="B72" s="6" t="s">
        <v>202</v>
      </c>
      <c r="C72" s="6" t="s">
        <v>203</v>
      </c>
      <c r="D72" s="6" t="s">
        <v>622</v>
      </c>
      <c r="E72" s="6" t="s">
        <v>204</v>
      </c>
      <c r="F72" s="6"/>
      <c r="G72" s="49">
        <v>1399532.52</v>
      </c>
      <c r="H72" s="35">
        <v>45658</v>
      </c>
      <c r="I72" s="7"/>
      <c r="J72" s="6" t="s">
        <v>24</v>
      </c>
      <c r="K72" s="8" t="s">
        <v>25</v>
      </c>
      <c r="L72" s="54">
        <f t="shared" ref="L72:L74" si="16">(ISNUMBER(G72))-1</f>
        <v>0</v>
      </c>
    </row>
    <row r="73" spans="1:12" hidden="1" x14ac:dyDescent="0.2">
      <c r="A73" s="5" t="s">
        <v>263</v>
      </c>
      <c r="B73" s="6" t="s">
        <v>264</v>
      </c>
      <c r="C73" s="6" t="e">
        <f>Data_BI!#REF!</f>
        <v>#REF!</v>
      </c>
      <c r="D73" s="6" t="s">
        <v>38</v>
      </c>
      <c r="E73" s="6" t="s">
        <v>621</v>
      </c>
      <c r="F73" s="6" t="s">
        <v>289</v>
      </c>
      <c r="G73" s="49">
        <v>1319165.3400000001</v>
      </c>
      <c r="H73" s="35">
        <v>45658</v>
      </c>
      <c r="I73" s="7"/>
      <c r="J73" s="6" t="s">
        <v>24</v>
      </c>
      <c r="K73" s="8" t="s">
        <v>266</v>
      </c>
      <c r="L73" s="54">
        <f t="shared" si="16"/>
        <v>0</v>
      </c>
    </row>
    <row r="74" spans="1:12" hidden="1" x14ac:dyDescent="0.2">
      <c r="A74" s="9" t="s">
        <v>221</v>
      </c>
      <c r="B74" s="10" t="s">
        <v>222</v>
      </c>
      <c r="C74" s="10" t="s">
        <v>222</v>
      </c>
      <c r="D74" s="6" t="s">
        <v>622</v>
      </c>
      <c r="E74" s="6" t="s">
        <v>621</v>
      </c>
      <c r="F74" s="10" t="s">
        <v>227</v>
      </c>
      <c r="G74" s="48">
        <v>1250385.77</v>
      </c>
      <c r="H74" s="36">
        <v>45658</v>
      </c>
      <c r="I74" s="11"/>
      <c r="J74" s="10" t="s">
        <v>24</v>
      </c>
      <c r="K74" s="12" t="s">
        <v>25</v>
      </c>
      <c r="L74" s="54">
        <f t="shared" si="16"/>
        <v>0</v>
      </c>
    </row>
    <row r="75" spans="1:12" hidden="1" x14ac:dyDescent="0.2">
      <c r="A75" s="5" t="s">
        <v>81</v>
      </c>
      <c r="B75" s="6" t="s">
        <v>82</v>
      </c>
      <c r="C75" s="6" t="s">
        <v>115</v>
      </c>
      <c r="D75" s="6" t="s">
        <v>30</v>
      </c>
      <c r="E75" s="6" t="s">
        <v>621</v>
      </c>
      <c r="F75" s="6" t="s">
        <v>125</v>
      </c>
      <c r="G75" s="49">
        <v>1227355.17</v>
      </c>
      <c r="H75" s="35">
        <v>45658</v>
      </c>
      <c r="I75" s="7"/>
      <c r="J75" s="6" t="s">
        <v>24</v>
      </c>
      <c r="K75" s="8" t="s">
        <v>25</v>
      </c>
      <c r="L75" s="54">
        <f t="shared" ref="L75:L79" si="17">(ISNUMBER(G75))-1</f>
        <v>0</v>
      </c>
    </row>
    <row r="76" spans="1:12" hidden="1" x14ac:dyDescent="0.2">
      <c r="A76" s="9" t="s">
        <v>81</v>
      </c>
      <c r="B76" s="10" t="s">
        <v>82</v>
      </c>
      <c r="C76" s="10" t="s">
        <v>115</v>
      </c>
      <c r="D76" s="6" t="s">
        <v>622</v>
      </c>
      <c r="E76" s="6" t="s">
        <v>621</v>
      </c>
      <c r="F76" s="10" t="s">
        <v>120</v>
      </c>
      <c r="G76" s="48">
        <v>1201011.5900000001</v>
      </c>
      <c r="H76" s="36">
        <v>45658</v>
      </c>
      <c r="I76" s="11"/>
      <c r="J76" s="10" t="s">
        <v>24</v>
      </c>
      <c r="K76" s="12" t="s">
        <v>25</v>
      </c>
      <c r="L76" s="54">
        <f t="shared" si="17"/>
        <v>0</v>
      </c>
    </row>
    <row r="77" spans="1:12" hidden="1" x14ac:dyDescent="0.2">
      <c r="A77" s="9" t="s">
        <v>201</v>
      </c>
      <c r="B77" s="10" t="s">
        <v>202</v>
      </c>
      <c r="C77" s="10" t="s">
        <v>203</v>
      </c>
      <c r="D77" s="6" t="s">
        <v>622</v>
      </c>
      <c r="E77" s="6" t="s">
        <v>205</v>
      </c>
      <c r="F77" s="10"/>
      <c r="G77" s="48">
        <v>1164780</v>
      </c>
      <c r="H77" s="36">
        <v>45658</v>
      </c>
      <c r="I77" s="11"/>
      <c r="J77" s="10" t="s">
        <v>24</v>
      </c>
      <c r="K77" s="12" t="s">
        <v>25</v>
      </c>
      <c r="L77" s="54">
        <f t="shared" si="17"/>
        <v>0</v>
      </c>
    </row>
    <row r="78" spans="1:12" hidden="1" x14ac:dyDescent="0.2">
      <c r="A78" s="9" t="s">
        <v>201</v>
      </c>
      <c r="B78" s="10" t="s">
        <v>214</v>
      </c>
      <c r="C78" s="10" t="s">
        <v>215</v>
      </c>
      <c r="D78" s="6" t="s">
        <v>622</v>
      </c>
      <c r="E78" s="6" t="s">
        <v>205</v>
      </c>
      <c r="F78" s="10"/>
      <c r="G78" s="48">
        <v>1145171.03</v>
      </c>
      <c r="H78" s="36">
        <v>45658</v>
      </c>
      <c r="I78" s="11"/>
      <c r="J78" s="10" t="s">
        <v>24</v>
      </c>
      <c r="K78" s="12" t="s">
        <v>25</v>
      </c>
      <c r="L78" s="54">
        <f t="shared" si="17"/>
        <v>0</v>
      </c>
    </row>
    <row r="79" spans="1:12" hidden="1" x14ac:dyDescent="0.2">
      <c r="A79" s="9" t="s">
        <v>263</v>
      </c>
      <c r="B79" s="10" t="s">
        <v>264</v>
      </c>
      <c r="C79" s="10" t="e">
        <f>Data_BI!#REF!</f>
        <v>#REF!</v>
      </c>
      <c r="D79" s="6" t="s">
        <v>622</v>
      </c>
      <c r="E79" s="6" t="s">
        <v>621</v>
      </c>
      <c r="F79" s="10" t="s">
        <v>288</v>
      </c>
      <c r="G79" s="48">
        <v>1133637.68</v>
      </c>
      <c r="H79" s="36">
        <v>45658</v>
      </c>
      <c r="I79" s="11"/>
      <c r="J79" s="10" t="s">
        <v>24</v>
      </c>
      <c r="K79" s="8" t="s">
        <v>266</v>
      </c>
      <c r="L79" s="54">
        <f t="shared" si="17"/>
        <v>0</v>
      </c>
    </row>
    <row r="80" spans="1:12" hidden="1" x14ac:dyDescent="0.2">
      <c r="A80" s="5" t="s">
        <v>81</v>
      </c>
      <c r="B80" s="6" t="s">
        <v>82</v>
      </c>
      <c r="C80" s="6" t="s">
        <v>115</v>
      </c>
      <c r="D80" s="6" t="s">
        <v>30</v>
      </c>
      <c r="E80" s="6" t="s">
        <v>621</v>
      </c>
      <c r="F80" s="6" t="s">
        <v>144</v>
      </c>
      <c r="G80" s="49">
        <v>1084712.5</v>
      </c>
      <c r="H80" s="35">
        <v>45658</v>
      </c>
      <c r="I80" s="7"/>
      <c r="J80" s="6" t="s">
        <v>24</v>
      </c>
      <c r="K80" s="8" t="s">
        <v>25</v>
      </c>
      <c r="L80" s="54">
        <f t="shared" ref="L80:L85" si="18">(ISNUMBER(G80))-1</f>
        <v>0</v>
      </c>
    </row>
    <row r="81" spans="1:12" hidden="1" x14ac:dyDescent="0.2">
      <c r="A81" s="9" t="s">
        <v>81</v>
      </c>
      <c r="B81" s="10" t="s">
        <v>82</v>
      </c>
      <c r="C81" s="10" t="s">
        <v>83</v>
      </c>
      <c r="D81" s="6" t="s">
        <v>622</v>
      </c>
      <c r="E81" s="6" t="s">
        <v>621</v>
      </c>
      <c r="F81" s="10" t="s">
        <v>93</v>
      </c>
      <c r="G81" s="48">
        <v>1050020</v>
      </c>
      <c r="H81" s="36">
        <v>45658</v>
      </c>
      <c r="I81" s="11"/>
      <c r="J81" s="10" t="s">
        <v>24</v>
      </c>
      <c r="K81" s="12" t="s">
        <v>25</v>
      </c>
      <c r="L81" s="54">
        <f t="shared" si="18"/>
        <v>0</v>
      </c>
    </row>
    <row r="82" spans="1:12" hidden="1" x14ac:dyDescent="0.2">
      <c r="A82" s="5" t="s">
        <v>263</v>
      </c>
      <c r="B82" s="6" t="s">
        <v>264</v>
      </c>
      <c r="C82" s="6" t="e">
        <f>Data_BI!#REF!</f>
        <v>#REF!</v>
      </c>
      <c r="D82" s="6" t="s">
        <v>30</v>
      </c>
      <c r="E82" s="6" t="s">
        <v>621</v>
      </c>
      <c r="F82" s="6" t="s">
        <v>287</v>
      </c>
      <c r="G82" s="49">
        <v>1042903.96</v>
      </c>
      <c r="H82" s="35">
        <v>45658</v>
      </c>
      <c r="I82" s="7"/>
      <c r="J82" s="6" t="s">
        <v>24</v>
      </c>
      <c r="K82" s="8" t="s">
        <v>266</v>
      </c>
      <c r="L82" s="54">
        <f t="shared" si="18"/>
        <v>0</v>
      </c>
    </row>
    <row r="83" spans="1:12" hidden="1" x14ac:dyDescent="0.2">
      <c r="A83" s="9" t="s">
        <v>81</v>
      </c>
      <c r="B83" s="10" t="s">
        <v>82</v>
      </c>
      <c r="C83" s="10" t="s">
        <v>115</v>
      </c>
      <c r="D83" s="6" t="s">
        <v>622</v>
      </c>
      <c r="E83" s="6" t="s">
        <v>621</v>
      </c>
      <c r="F83" s="10" t="s">
        <v>122</v>
      </c>
      <c r="G83" s="48">
        <v>1015773.02</v>
      </c>
      <c r="H83" s="36">
        <v>45658</v>
      </c>
      <c r="I83" s="11"/>
      <c r="J83" s="10" t="s">
        <v>24</v>
      </c>
      <c r="K83" s="12" t="s">
        <v>25</v>
      </c>
      <c r="L83" s="54">
        <f t="shared" si="18"/>
        <v>0</v>
      </c>
    </row>
    <row r="84" spans="1:12" hidden="1" x14ac:dyDescent="0.2">
      <c r="A84" s="5" t="s">
        <v>15</v>
      </c>
      <c r="B84" s="6" t="s">
        <v>16</v>
      </c>
      <c r="C84" s="6" t="s">
        <v>27</v>
      </c>
      <c r="D84" s="6" t="s">
        <v>622</v>
      </c>
      <c r="E84" s="6" t="s">
        <v>621</v>
      </c>
      <c r="F84" s="6" t="s">
        <v>28</v>
      </c>
      <c r="G84" s="49">
        <v>1014548.44</v>
      </c>
      <c r="H84" s="35">
        <v>45658</v>
      </c>
      <c r="I84" s="7"/>
      <c r="J84" s="6" t="s">
        <v>24</v>
      </c>
      <c r="K84" s="8" t="s">
        <v>25</v>
      </c>
      <c r="L84" s="54">
        <f t="shared" si="18"/>
        <v>0</v>
      </c>
    </row>
    <row r="85" spans="1:12" hidden="1" x14ac:dyDescent="0.2">
      <c r="A85" s="9" t="s">
        <v>81</v>
      </c>
      <c r="B85" s="10" t="s">
        <v>82</v>
      </c>
      <c r="C85" s="10" t="s">
        <v>148</v>
      </c>
      <c r="D85" s="10" t="s">
        <v>38</v>
      </c>
      <c r="E85" s="6" t="s">
        <v>621</v>
      </c>
      <c r="F85" s="10" t="s">
        <v>161</v>
      </c>
      <c r="G85" s="48">
        <v>1008192.99</v>
      </c>
      <c r="H85" s="36">
        <v>45658</v>
      </c>
      <c r="I85" s="11"/>
      <c r="J85" s="10" t="s">
        <v>24</v>
      </c>
      <c r="K85" s="12" t="s">
        <v>25</v>
      </c>
      <c r="L85" s="54">
        <f t="shared" si="18"/>
        <v>0</v>
      </c>
    </row>
    <row r="86" spans="1:12" hidden="1" x14ac:dyDescent="0.2">
      <c r="A86" s="9" t="s">
        <v>201</v>
      </c>
      <c r="B86" s="10" t="s">
        <v>202</v>
      </c>
      <c r="C86" s="10" t="s">
        <v>203</v>
      </c>
      <c r="D86" s="6" t="s">
        <v>622</v>
      </c>
      <c r="E86" s="6" t="s">
        <v>208</v>
      </c>
      <c r="F86" s="10"/>
      <c r="G86" s="48">
        <v>827866.49</v>
      </c>
      <c r="H86" s="36">
        <v>45658</v>
      </c>
      <c r="I86" s="11"/>
      <c r="J86" s="10" t="s">
        <v>24</v>
      </c>
      <c r="K86" s="12" t="s">
        <v>25</v>
      </c>
      <c r="L86" s="54">
        <f t="shared" ref="L86:L87" si="19">(ISNUMBER(G86))-1</f>
        <v>0</v>
      </c>
    </row>
    <row r="87" spans="1:12" hidden="1" x14ac:dyDescent="0.2">
      <c r="A87" s="5" t="s">
        <v>81</v>
      </c>
      <c r="B87" s="6" t="s">
        <v>82</v>
      </c>
      <c r="C87" s="6" t="s">
        <v>103</v>
      </c>
      <c r="D87" s="6" t="s">
        <v>622</v>
      </c>
      <c r="E87" s="6" t="s">
        <v>621</v>
      </c>
      <c r="F87" s="6" t="s">
        <v>106</v>
      </c>
      <c r="G87" s="49">
        <v>801279.52</v>
      </c>
      <c r="H87" s="35">
        <v>45658</v>
      </c>
      <c r="I87" s="7"/>
      <c r="J87" s="6" t="s">
        <v>24</v>
      </c>
      <c r="K87" s="8" t="s">
        <v>25</v>
      </c>
      <c r="L87" s="54">
        <f t="shared" si="19"/>
        <v>0</v>
      </c>
    </row>
    <row r="88" spans="1:12" hidden="1" x14ac:dyDescent="0.2">
      <c r="A88" s="5" t="s">
        <v>81</v>
      </c>
      <c r="B88" s="6" t="s">
        <v>82</v>
      </c>
      <c r="C88" s="6" t="s">
        <v>115</v>
      </c>
      <c r="D88" s="6" t="s">
        <v>30</v>
      </c>
      <c r="E88" s="6" t="s">
        <v>621</v>
      </c>
      <c r="F88" s="6" t="s">
        <v>143</v>
      </c>
      <c r="G88" s="49">
        <v>739630.36</v>
      </c>
      <c r="H88" s="35">
        <v>45658</v>
      </c>
      <c r="I88" s="7"/>
      <c r="J88" s="6" t="s">
        <v>24</v>
      </c>
      <c r="K88" s="8" t="s">
        <v>25</v>
      </c>
      <c r="L88" s="54">
        <f t="shared" ref="L88:L90" si="20">(ISNUMBER(G88))-1</f>
        <v>0</v>
      </c>
    </row>
    <row r="89" spans="1:12" hidden="1" x14ac:dyDescent="0.2">
      <c r="A89" s="9" t="s">
        <v>263</v>
      </c>
      <c r="B89" s="10" t="s">
        <v>264</v>
      </c>
      <c r="C89" s="10" t="e">
        <f>Data_BI!#REF!</f>
        <v>#REF!</v>
      </c>
      <c r="D89" s="10" t="s">
        <v>38</v>
      </c>
      <c r="E89" s="6" t="s">
        <v>621</v>
      </c>
      <c r="F89" s="10" t="s">
        <v>286</v>
      </c>
      <c r="G89" s="48">
        <v>708878.63</v>
      </c>
      <c r="H89" s="36">
        <v>45658</v>
      </c>
      <c r="I89" s="11"/>
      <c r="J89" s="10" t="s">
        <v>24</v>
      </c>
      <c r="K89" s="8" t="s">
        <v>266</v>
      </c>
      <c r="L89" s="54">
        <f t="shared" si="20"/>
        <v>0</v>
      </c>
    </row>
    <row r="90" spans="1:12" hidden="1" x14ac:dyDescent="0.2">
      <c r="A90" s="5" t="s">
        <v>201</v>
      </c>
      <c r="B90" s="6" t="s">
        <v>214</v>
      </c>
      <c r="C90" s="6" t="s">
        <v>215</v>
      </c>
      <c r="D90" s="6" t="s">
        <v>622</v>
      </c>
      <c r="E90" s="6" t="s">
        <v>204</v>
      </c>
      <c r="F90" s="6"/>
      <c r="G90" s="49">
        <v>706237.33</v>
      </c>
      <c r="H90" s="35">
        <v>45658</v>
      </c>
      <c r="I90" s="7"/>
      <c r="J90" s="6" t="s">
        <v>24</v>
      </c>
      <c r="K90" s="8" t="s">
        <v>25</v>
      </c>
      <c r="L90" s="54">
        <f t="shared" si="20"/>
        <v>0</v>
      </c>
    </row>
    <row r="91" spans="1:12" hidden="1" x14ac:dyDescent="0.2">
      <c r="A91" s="5" t="s">
        <v>263</v>
      </c>
      <c r="B91" s="6" t="s">
        <v>264</v>
      </c>
      <c r="C91" s="6" t="e">
        <f>Data_BI!#REF!</f>
        <v>#REF!</v>
      </c>
      <c r="D91" s="6" t="s">
        <v>622</v>
      </c>
      <c r="E91" s="6" t="s">
        <v>621</v>
      </c>
      <c r="F91" s="6" t="s">
        <v>285</v>
      </c>
      <c r="G91" s="49">
        <v>697782.22</v>
      </c>
      <c r="H91" s="35">
        <v>45658</v>
      </c>
      <c r="I91" s="7"/>
      <c r="J91" s="6" t="s">
        <v>24</v>
      </c>
      <c r="K91" s="8" t="s">
        <v>266</v>
      </c>
      <c r="L91" s="54">
        <f t="shared" ref="L91:L95" si="21">(ISNUMBER(G91))-1</f>
        <v>0</v>
      </c>
    </row>
    <row r="92" spans="1:12" hidden="1" x14ac:dyDescent="0.2">
      <c r="A92" s="5" t="s">
        <v>81</v>
      </c>
      <c r="B92" s="6" t="s">
        <v>82</v>
      </c>
      <c r="C92" s="6" t="s">
        <v>99</v>
      </c>
      <c r="D92" s="6" t="s">
        <v>622</v>
      </c>
      <c r="E92" s="6" t="s">
        <v>621</v>
      </c>
      <c r="F92" s="6" t="s">
        <v>101</v>
      </c>
      <c r="G92" s="49">
        <v>668161.56000000006</v>
      </c>
      <c r="H92" s="35">
        <v>45658</v>
      </c>
      <c r="I92" s="7"/>
      <c r="J92" s="6" t="s">
        <v>24</v>
      </c>
      <c r="K92" s="8" t="s">
        <v>25</v>
      </c>
      <c r="L92" s="54">
        <f t="shared" si="21"/>
        <v>0</v>
      </c>
    </row>
    <row r="93" spans="1:12" hidden="1" x14ac:dyDescent="0.2">
      <c r="A93" s="5" t="s">
        <v>221</v>
      </c>
      <c r="B93" s="6" t="s">
        <v>222</v>
      </c>
      <c r="C93" s="6" t="s">
        <v>222</v>
      </c>
      <c r="D93" s="6" t="s">
        <v>622</v>
      </c>
      <c r="E93" s="6" t="s">
        <v>621</v>
      </c>
      <c r="F93" s="6" t="s">
        <v>226</v>
      </c>
      <c r="G93" s="49">
        <v>665239.43999999994</v>
      </c>
      <c r="H93" s="35">
        <v>45658</v>
      </c>
      <c r="I93" s="7"/>
      <c r="J93" s="6" t="s">
        <v>24</v>
      </c>
      <c r="K93" s="8" t="s">
        <v>25</v>
      </c>
      <c r="L93" s="54">
        <f t="shared" si="21"/>
        <v>0</v>
      </c>
    </row>
    <row r="94" spans="1:12" hidden="1" x14ac:dyDescent="0.2">
      <c r="A94" s="9" t="s">
        <v>81</v>
      </c>
      <c r="B94" s="10" t="s">
        <v>82</v>
      </c>
      <c r="C94" s="10" t="s">
        <v>115</v>
      </c>
      <c r="D94" s="6" t="s">
        <v>622</v>
      </c>
      <c r="E94" s="6" t="s">
        <v>621</v>
      </c>
      <c r="F94" s="10" t="s">
        <v>126</v>
      </c>
      <c r="G94" s="48">
        <v>652479.74</v>
      </c>
      <c r="H94" s="36">
        <v>45658</v>
      </c>
      <c r="I94" s="11"/>
      <c r="J94" s="10" t="s">
        <v>24</v>
      </c>
      <c r="K94" s="12" t="s">
        <v>25</v>
      </c>
      <c r="L94" s="54">
        <f t="shared" si="21"/>
        <v>0</v>
      </c>
    </row>
    <row r="95" spans="1:12" hidden="1" x14ac:dyDescent="0.2">
      <c r="A95" s="5" t="s">
        <v>81</v>
      </c>
      <c r="B95" s="6" t="s">
        <v>82</v>
      </c>
      <c r="C95" s="6" t="s">
        <v>115</v>
      </c>
      <c r="D95" s="6" t="s">
        <v>622</v>
      </c>
      <c r="E95" s="6" t="s">
        <v>621</v>
      </c>
      <c r="F95" s="6" t="s">
        <v>142</v>
      </c>
      <c r="G95" s="49">
        <v>649519.78</v>
      </c>
      <c r="H95" s="35">
        <v>45658</v>
      </c>
      <c r="I95" s="7"/>
      <c r="J95" s="6" t="s">
        <v>24</v>
      </c>
      <c r="K95" s="8" t="s">
        <v>25</v>
      </c>
      <c r="L95" s="54">
        <f t="shared" si="21"/>
        <v>0</v>
      </c>
    </row>
    <row r="96" spans="1:12" hidden="1" x14ac:dyDescent="0.2">
      <c r="A96" s="9" t="s">
        <v>81</v>
      </c>
      <c r="B96" s="10" t="s">
        <v>82</v>
      </c>
      <c r="C96" s="10" t="s">
        <v>99</v>
      </c>
      <c r="D96" s="6" t="s">
        <v>622</v>
      </c>
      <c r="E96" s="6" t="s">
        <v>621</v>
      </c>
      <c r="F96" s="10" t="s">
        <v>100</v>
      </c>
      <c r="G96" s="48">
        <v>625000.64</v>
      </c>
      <c r="H96" s="36">
        <v>45658</v>
      </c>
      <c r="I96" s="11"/>
      <c r="J96" s="10" t="s">
        <v>24</v>
      </c>
      <c r="K96" s="12" t="s">
        <v>25</v>
      </c>
      <c r="L96" s="54">
        <f t="shared" ref="L96:L100" si="22">(ISNUMBER(G96))-1</f>
        <v>0</v>
      </c>
    </row>
    <row r="97" spans="1:12" hidden="1" x14ac:dyDescent="0.2">
      <c r="A97" s="5" t="s">
        <v>201</v>
      </c>
      <c r="B97" s="6" t="s">
        <v>202</v>
      </c>
      <c r="C97" s="6" t="s">
        <v>203</v>
      </c>
      <c r="D97" s="6" t="s">
        <v>622</v>
      </c>
      <c r="E97" s="6" t="s">
        <v>204</v>
      </c>
      <c r="F97" s="6"/>
      <c r="G97" s="49">
        <v>615142.24</v>
      </c>
      <c r="H97" s="35">
        <v>45658</v>
      </c>
      <c r="I97" s="7"/>
      <c r="J97" s="6" t="s">
        <v>24</v>
      </c>
      <c r="K97" s="8" t="s">
        <v>25</v>
      </c>
      <c r="L97" s="54">
        <f t="shared" si="22"/>
        <v>0</v>
      </c>
    </row>
    <row r="98" spans="1:12" hidden="1" x14ac:dyDescent="0.2">
      <c r="A98" s="5" t="s">
        <v>81</v>
      </c>
      <c r="B98" s="6" t="s">
        <v>82</v>
      </c>
      <c r="C98" s="6" t="s">
        <v>83</v>
      </c>
      <c r="D98" s="6" t="s">
        <v>622</v>
      </c>
      <c r="E98" s="6" t="s">
        <v>621</v>
      </c>
      <c r="F98" s="6" t="s">
        <v>92</v>
      </c>
      <c r="G98" s="49">
        <v>575544</v>
      </c>
      <c r="H98" s="35">
        <v>45658</v>
      </c>
      <c r="I98" s="7"/>
      <c r="J98" s="6" t="s">
        <v>24</v>
      </c>
      <c r="K98" s="8" t="s">
        <v>25</v>
      </c>
      <c r="L98" s="54">
        <f t="shared" si="22"/>
        <v>0</v>
      </c>
    </row>
    <row r="99" spans="1:12" hidden="1" x14ac:dyDescent="0.2">
      <c r="A99" s="5" t="s">
        <v>81</v>
      </c>
      <c r="B99" s="6" t="s">
        <v>82</v>
      </c>
      <c r="C99" s="6" t="s">
        <v>148</v>
      </c>
      <c r="D99" s="6" t="s">
        <v>38</v>
      </c>
      <c r="E99" s="6" t="s">
        <v>621</v>
      </c>
      <c r="F99" s="6" t="s">
        <v>160</v>
      </c>
      <c r="G99" s="49">
        <v>552300</v>
      </c>
      <c r="H99" s="35">
        <v>45658</v>
      </c>
      <c r="I99" s="7"/>
      <c r="J99" s="6" t="s">
        <v>24</v>
      </c>
      <c r="K99" s="8" t="s">
        <v>25</v>
      </c>
      <c r="L99" s="54">
        <f t="shared" si="22"/>
        <v>0</v>
      </c>
    </row>
    <row r="100" spans="1:12" hidden="1" x14ac:dyDescent="0.2">
      <c r="A100" s="5" t="s">
        <v>15</v>
      </c>
      <c r="B100" s="6" t="s">
        <v>16</v>
      </c>
      <c r="C100" s="6" t="s">
        <v>37</v>
      </c>
      <c r="D100" s="6" t="s">
        <v>38</v>
      </c>
      <c r="E100" s="6" t="s">
        <v>621</v>
      </c>
      <c r="F100" s="6" t="s">
        <v>39</v>
      </c>
      <c r="G100" s="49">
        <v>552054.79</v>
      </c>
      <c r="H100" s="35">
        <v>45658</v>
      </c>
      <c r="I100" s="7"/>
      <c r="J100" s="6" t="s">
        <v>24</v>
      </c>
      <c r="K100" s="8" t="s">
        <v>25</v>
      </c>
      <c r="L100" s="54">
        <f t="shared" si="22"/>
        <v>0</v>
      </c>
    </row>
    <row r="101" spans="1:12" hidden="1" x14ac:dyDescent="0.2">
      <c r="A101" s="9" t="s">
        <v>15</v>
      </c>
      <c r="B101" s="10" t="s">
        <v>16</v>
      </c>
      <c r="C101" s="10" t="s">
        <v>46</v>
      </c>
      <c r="D101" s="6" t="s">
        <v>622</v>
      </c>
      <c r="E101" s="6" t="s">
        <v>621</v>
      </c>
      <c r="F101" s="10" t="s">
        <v>56</v>
      </c>
      <c r="G101" s="48">
        <v>477367.95</v>
      </c>
      <c r="H101" s="36">
        <v>45658</v>
      </c>
      <c r="I101" s="11"/>
      <c r="J101" s="10" t="s">
        <v>24</v>
      </c>
      <c r="K101" s="12" t="s">
        <v>25</v>
      </c>
      <c r="L101" s="54">
        <f t="shared" ref="L101" si="23">(ISNUMBER(G101))-1</f>
        <v>0</v>
      </c>
    </row>
    <row r="102" spans="1:12" hidden="1" x14ac:dyDescent="0.2">
      <c r="A102" s="5" t="s">
        <v>15</v>
      </c>
      <c r="B102" s="6" t="s">
        <v>16</v>
      </c>
      <c r="C102" s="6" t="s">
        <v>46</v>
      </c>
      <c r="D102" s="6" t="s">
        <v>622</v>
      </c>
      <c r="E102" s="6" t="s">
        <v>621</v>
      </c>
      <c r="F102" s="6" t="s">
        <v>55</v>
      </c>
      <c r="G102" s="49">
        <v>447672.6</v>
      </c>
      <c r="H102" s="35">
        <v>45658</v>
      </c>
      <c r="I102" s="7"/>
      <c r="J102" s="6" t="s">
        <v>24</v>
      </c>
      <c r="K102" s="8" t="s">
        <v>25</v>
      </c>
      <c r="L102" s="54">
        <f t="shared" ref="L102:L107" si="24">(ISNUMBER(G102))-1</f>
        <v>0</v>
      </c>
    </row>
    <row r="103" spans="1:12" hidden="1" x14ac:dyDescent="0.2">
      <c r="A103" s="5" t="s">
        <v>201</v>
      </c>
      <c r="B103" s="6" t="s">
        <v>202</v>
      </c>
      <c r="C103" s="6" t="s">
        <v>203</v>
      </c>
      <c r="D103" s="6" t="s">
        <v>622</v>
      </c>
      <c r="E103" s="6" t="s">
        <v>205</v>
      </c>
      <c r="F103" s="6"/>
      <c r="G103" s="49">
        <v>444281.36</v>
      </c>
      <c r="H103" s="35">
        <v>45658</v>
      </c>
      <c r="I103" s="7"/>
      <c r="J103" s="6" t="s">
        <v>24</v>
      </c>
      <c r="K103" s="8" t="s">
        <v>25</v>
      </c>
      <c r="L103" s="54">
        <f t="shared" si="24"/>
        <v>0</v>
      </c>
    </row>
    <row r="104" spans="1:12" hidden="1" x14ac:dyDescent="0.2">
      <c r="A104" s="9" t="s">
        <v>201</v>
      </c>
      <c r="B104" s="10" t="s">
        <v>202</v>
      </c>
      <c r="C104" s="10" t="s">
        <v>203</v>
      </c>
      <c r="D104" s="6" t="s">
        <v>622</v>
      </c>
      <c r="E104" s="6" t="s">
        <v>207</v>
      </c>
      <c r="F104" s="10"/>
      <c r="G104" s="48">
        <v>438987.61</v>
      </c>
      <c r="H104" s="36">
        <v>45658</v>
      </c>
      <c r="I104" s="11"/>
      <c r="J104" s="10" t="s">
        <v>24</v>
      </c>
      <c r="K104" s="12" t="s">
        <v>25</v>
      </c>
      <c r="L104" s="54">
        <f t="shared" si="24"/>
        <v>0</v>
      </c>
    </row>
    <row r="105" spans="1:12" hidden="1" x14ac:dyDescent="0.2">
      <c r="A105" s="9" t="s">
        <v>15</v>
      </c>
      <c r="B105" s="10" t="s">
        <v>16</v>
      </c>
      <c r="C105" s="10" t="s">
        <v>17</v>
      </c>
      <c r="D105" s="6" t="s">
        <v>622</v>
      </c>
      <c r="E105" s="6" t="s">
        <v>621</v>
      </c>
      <c r="F105" s="10" t="s">
        <v>26</v>
      </c>
      <c r="G105" s="48">
        <v>428414.75</v>
      </c>
      <c r="H105" s="36">
        <v>45658</v>
      </c>
      <c r="I105" s="11"/>
      <c r="J105" s="10" t="s">
        <v>24</v>
      </c>
      <c r="K105" s="12" t="s">
        <v>25</v>
      </c>
      <c r="L105" s="54">
        <f t="shared" si="24"/>
        <v>0</v>
      </c>
    </row>
    <row r="106" spans="1:12" hidden="1" x14ac:dyDescent="0.2">
      <c r="A106" s="9" t="s">
        <v>263</v>
      </c>
      <c r="B106" s="10" t="s">
        <v>264</v>
      </c>
      <c r="C106" s="10" t="e">
        <f>Data_BI!#REF!</f>
        <v>#REF!</v>
      </c>
      <c r="D106" s="10" t="s">
        <v>38</v>
      </c>
      <c r="E106" s="6" t="s">
        <v>621</v>
      </c>
      <c r="F106" s="10" t="s">
        <v>284</v>
      </c>
      <c r="G106" s="48">
        <v>423980.21</v>
      </c>
      <c r="H106" s="36">
        <v>45658</v>
      </c>
      <c r="I106" s="11"/>
      <c r="J106" s="10" t="s">
        <v>24</v>
      </c>
      <c r="K106" s="8" t="s">
        <v>266</v>
      </c>
      <c r="L106" s="54">
        <f t="shared" si="24"/>
        <v>0</v>
      </c>
    </row>
    <row r="107" spans="1:12" hidden="1" x14ac:dyDescent="0.2">
      <c r="A107" s="9" t="s">
        <v>201</v>
      </c>
      <c r="B107" s="10" t="s">
        <v>214</v>
      </c>
      <c r="C107" s="10" t="s">
        <v>215</v>
      </c>
      <c r="D107" s="6" t="s">
        <v>622</v>
      </c>
      <c r="E107" s="6" t="s">
        <v>207</v>
      </c>
      <c r="F107" s="10"/>
      <c r="G107" s="48">
        <v>417089.58</v>
      </c>
      <c r="H107" s="36">
        <v>45658</v>
      </c>
      <c r="I107" s="11"/>
      <c r="J107" s="10" t="s">
        <v>24</v>
      </c>
      <c r="K107" s="12" t="s">
        <v>25</v>
      </c>
      <c r="L107" s="54">
        <f t="shared" si="24"/>
        <v>0</v>
      </c>
    </row>
    <row r="108" spans="1:12" hidden="1" x14ac:dyDescent="0.2">
      <c r="A108" s="9" t="s">
        <v>81</v>
      </c>
      <c r="B108" s="10" t="s">
        <v>82</v>
      </c>
      <c r="C108" s="10" t="s">
        <v>115</v>
      </c>
      <c r="D108" s="10" t="s">
        <v>30</v>
      </c>
      <c r="E108" s="6" t="s">
        <v>621</v>
      </c>
      <c r="F108" s="10" t="s">
        <v>141</v>
      </c>
      <c r="G108" s="48">
        <v>413763.58</v>
      </c>
      <c r="H108" s="36">
        <v>45658</v>
      </c>
      <c r="I108" s="11"/>
      <c r="J108" s="10" t="s">
        <v>24</v>
      </c>
      <c r="K108" s="12" t="s">
        <v>25</v>
      </c>
      <c r="L108" s="54">
        <f t="shared" ref="L108:L109" si="25">(ISNUMBER(G108))-1</f>
        <v>0</v>
      </c>
    </row>
    <row r="109" spans="1:12" hidden="1" x14ac:dyDescent="0.2">
      <c r="A109" s="5" t="s">
        <v>81</v>
      </c>
      <c r="B109" s="6" t="s">
        <v>82</v>
      </c>
      <c r="C109" s="6" t="s">
        <v>115</v>
      </c>
      <c r="D109" s="6" t="s">
        <v>622</v>
      </c>
      <c r="E109" s="6" t="s">
        <v>621</v>
      </c>
      <c r="F109" s="6" t="s">
        <v>121</v>
      </c>
      <c r="G109" s="49">
        <v>400057.55</v>
      </c>
      <c r="H109" s="35">
        <v>45658</v>
      </c>
      <c r="I109" s="7"/>
      <c r="J109" s="6" t="s">
        <v>24</v>
      </c>
      <c r="K109" s="8" t="s">
        <v>25</v>
      </c>
      <c r="L109" s="54">
        <f t="shared" si="25"/>
        <v>0</v>
      </c>
    </row>
    <row r="110" spans="1:12" hidden="1" x14ac:dyDescent="0.2">
      <c r="A110" s="9" t="s">
        <v>81</v>
      </c>
      <c r="B110" s="10" t="s">
        <v>82</v>
      </c>
      <c r="C110" s="10" t="s">
        <v>103</v>
      </c>
      <c r="D110" s="6" t="s">
        <v>622</v>
      </c>
      <c r="E110" s="6" t="s">
        <v>621</v>
      </c>
      <c r="F110" s="10" t="s">
        <v>105</v>
      </c>
      <c r="G110" s="48">
        <v>374963.18</v>
      </c>
      <c r="H110" s="36">
        <v>45658</v>
      </c>
      <c r="I110" s="11"/>
      <c r="J110" s="10" t="s">
        <v>24</v>
      </c>
      <c r="K110" s="12" t="s">
        <v>25</v>
      </c>
      <c r="L110" s="54">
        <f t="shared" ref="L110:L112" si="26">(ISNUMBER(G110))-1</f>
        <v>0</v>
      </c>
    </row>
    <row r="111" spans="1:12" hidden="1" x14ac:dyDescent="0.2">
      <c r="A111" s="9" t="s">
        <v>81</v>
      </c>
      <c r="B111" s="10" t="s">
        <v>82</v>
      </c>
      <c r="C111" s="10" t="s">
        <v>115</v>
      </c>
      <c r="D111" s="10" t="s">
        <v>30</v>
      </c>
      <c r="E111" s="6" t="s">
        <v>621</v>
      </c>
      <c r="F111" s="10" t="s">
        <v>140</v>
      </c>
      <c r="G111" s="48">
        <v>340302.75</v>
      </c>
      <c r="H111" s="36">
        <v>45658</v>
      </c>
      <c r="I111" s="11"/>
      <c r="J111" s="10" t="s">
        <v>24</v>
      </c>
      <c r="K111" s="12" t="s">
        <v>25</v>
      </c>
      <c r="L111" s="54">
        <f t="shared" si="26"/>
        <v>0</v>
      </c>
    </row>
    <row r="112" spans="1:12" hidden="1" x14ac:dyDescent="0.2">
      <c r="A112" s="9" t="s">
        <v>252</v>
      </c>
      <c r="B112" s="10" t="s">
        <v>253</v>
      </c>
      <c r="C112" s="10" t="e">
        <f>Data_BI!#REF!</f>
        <v>#REF!</v>
      </c>
      <c r="D112" s="6" t="s">
        <v>622</v>
      </c>
      <c r="E112" s="6" t="s">
        <v>621</v>
      </c>
      <c r="F112" s="10" t="s">
        <v>262</v>
      </c>
      <c r="G112" s="48">
        <v>340127.5</v>
      </c>
      <c r="H112" s="36">
        <v>45658</v>
      </c>
      <c r="I112" s="11"/>
      <c r="J112" s="10" t="s">
        <v>24</v>
      </c>
      <c r="K112" s="12" t="s">
        <v>25</v>
      </c>
      <c r="L112" s="54">
        <f t="shared" si="26"/>
        <v>0</v>
      </c>
    </row>
    <row r="113" spans="1:12" hidden="1" x14ac:dyDescent="0.2">
      <c r="A113" s="9" t="s">
        <v>81</v>
      </c>
      <c r="B113" s="10" t="s">
        <v>82</v>
      </c>
      <c r="C113" s="10" t="s">
        <v>83</v>
      </c>
      <c r="D113" s="6" t="s">
        <v>622</v>
      </c>
      <c r="E113" s="6" t="s">
        <v>621</v>
      </c>
      <c r="F113" s="10" t="s">
        <v>91</v>
      </c>
      <c r="G113" s="48">
        <v>320112.46999999997</v>
      </c>
      <c r="H113" s="36">
        <v>45658</v>
      </c>
      <c r="I113" s="11"/>
      <c r="J113" s="10" t="s">
        <v>24</v>
      </c>
      <c r="K113" s="12" t="s">
        <v>25</v>
      </c>
      <c r="L113" s="54">
        <f t="shared" ref="L113" si="27">(ISNUMBER(G113))-1</f>
        <v>0</v>
      </c>
    </row>
    <row r="114" spans="1:12" hidden="1" x14ac:dyDescent="0.2">
      <c r="A114" s="5" t="s">
        <v>81</v>
      </c>
      <c r="B114" s="6" t="s">
        <v>82</v>
      </c>
      <c r="C114" s="6" t="s">
        <v>115</v>
      </c>
      <c r="D114" s="6" t="s">
        <v>30</v>
      </c>
      <c r="E114" s="6" t="s">
        <v>621</v>
      </c>
      <c r="F114" s="6" t="s">
        <v>139</v>
      </c>
      <c r="G114" s="49">
        <v>298845.49</v>
      </c>
      <c r="H114" s="35">
        <v>45658</v>
      </c>
      <c r="I114" s="7"/>
      <c r="J114" s="6" t="s">
        <v>24</v>
      </c>
      <c r="K114" s="8" t="s">
        <v>25</v>
      </c>
      <c r="L114" s="54">
        <f t="shared" ref="L114:L117" si="28">(ISNUMBER(G114))-1</f>
        <v>0</v>
      </c>
    </row>
    <row r="115" spans="1:12" hidden="1" x14ac:dyDescent="0.2">
      <c r="A115" s="5" t="s">
        <v>81</v>
      </c>
      <c r="B115" s="6" t="s">
        <v>82</v>
      </c>
      <c r="C115" s="6" t="s">
        <v>94</v>
      </c>
      <c r="D115" s="6" t="s">
        <v>622</v>
      </c>
      <c r="E115" s="6" t="s">
        <v>621</v>
      </c>
      <c r="F115" s="6" t="s">
        <v>95</v>
      </c>
      <c r="G115" s="49">
        <v>298483.77</v>
      </c>
      <c r="H115" s="35">
        <v>45658</v>
      </c>
      <c r="I115" s="7"/>
      <c r="J115" s="6" t="s">
        <v>24</v>
      </c>
      <c r="K115" s="8" t="s">
        <v>25</v>
      </c>
      <c r="L115" s="54">
        <f t="shared" si="28"/>
        <v>0</v>
      </c>
    </row>
    <row r="116" spans="1:12" hidden="1" x14ac:dyDescent="0.2">
      <c r="A116" s="9" t="s">
        <v>81</v>
      </c>
      <c r="B116" s="10" t="s">
        <v>82</v>
      </c>
      <c r="C116" s="10" t="s">
        <v>115</v>
      </c>
      <c r="D116" s="10" t="s">
        <v>30</v>
      </c>
      <c r="E116" s="6" t="s">
        <v>621</v>
      </c>
      <c r="F116" s="10" t="s">
        <v>138</v>
      </c>
      <c r="G116" s="48">
        <v>289242.03999999998</v>
      </c>
      <c r="H116" s="36">
        <v>45658</v>
      </c>
      <c r="I116" s="11"/>
      <c r="J116" s="10" t="s">
        <v>24</v>
      </c>
      <c r="K116" s="12" t="s">
        <v>25</v>
      </c>
      <c r="L116" s="54">
        <f t="shared" si="28"/>
        <v>0</v>
      </c>
    </row>
    <row r="117" spans="1:12" hidden="1" x14ac:dyDescent="0.2">
      <c r="A117" s="9" t="s">
        <v>15</v>
      </c>
      <c r="B117" s="10" t="s">
        <v>16</v>
      </c>
      <c r="C117" s="10" t="s">
        <v>46</v>
      </c>
      <c r="D117" s="6" t="s">
        <v>622</v>
      </c>
      <c r="E117" s="6" t="s">
        <v>621</v>
      </c>
      <c r="F117" s="10" t="s">
        <v>54</v>
      </c>
      <c r="G117" s="48">
        <v>287465.28000000003</v>
      </c>
      <c r="H117" s="36">
        <v>45658</v>
      </c>
      <c r="I117" s="11"/>
      <c r="J117" s="10" t="s">
        <v>24</v>
      </c>
      <c r="K117" s="12" t="s">
        <v>25</v>
      </c>
      <c r="L117" s="54">
        <f t="shared" si="28"/>
        <v>0</v>
      </c>
    </row>
    <row r="118" spans="1:12" hidden="1" x14ac:dyDescent="0.2">
      <c r="A118" s="5" t="s">
        <v>81</v>
      </c>
      <c r="B118" s="6" t="s">
        <v>82</v>
      </c>
      <c r="C118" s="6" t="s">
        <v>108</v>
      </c>
      <c r="D118" s="6" t="s">
        <v>622</v>
      </c>
      <c r="E118" s="6" t="s">
        <v>621</v>
      </c>
      <c r="F118" s="6" t="s">
        <v>109</v>
      </c>
      <c r="G118" s="49">
        <v>269781.17</v>
      </c>
      <c r="H118" s="35">
        <v>45658</v>
      </c>
      <c r="I118" s="7"/>
      <c r="J118" s="6" t="s">
        <v>24</v>
      </c>
      <c r="K118" s="8" t="s">
        <v>25</v>
      </c>
      <c r="L118" s="54">
        <f t="shared" ref="L118" si="29">(ISNUMBER(G118))-1</f>
        <v>0</v>
      </c>
    </row>
    <row r="119" spans="1:12" hidden="1" x14ac:dyDescent="0.2">
      <c r="A119" s="5" t="s">
        <v>81</v>
      </c>
      <c r="B119" s="6" t="s">
        <v>82</v>
      </c>
      <c r="C119" s="6" t="s">
        <v>115</v>
      </c>
      <c r="D119" s="6" t="s">
        <v>30</v>
      </c>
      <c r="E119" s="6" t="s">
        <v>621</v>
      </c>
      <c r="F119" s="6" t="s">
        <v>137</v>
      </c>
      <c r="G119" s="49">
        <v>249444.65</v>
      </c>
      <c r="H119" s="35">
        <v>45658</v>
      </c>
      <c r="I119" s="7"/>
      <c r="J119" s="6" t="s">
        <v>24</v>
      </c>
      <c r="K119" s="8" t="s">
        <v>25</v>
      </c>
      <c r="L119" s="54">
        <f t="shared" ref="L119:L122" si="30">(ISNUMBER(G119))-1</f>
        <v>0</v>
      </c>
    </row>
    <row r="120" spans="1:12" hidden="1" x14ac:dyDescent="0.2">
      <c r="A120" s="5" t="s">
        <v>201</v>
      </c>
      <c r="B120" s="6" t="s">
        <v>202</v>
      </c>
      <c r="C120" s="6" t="s">
        <v>203</v>
      </c>
      <c r="D120" s="6" t="s">
        <v>622</v>
      </c>
      <c r="E120" s="6" t="s">
        <v>207</v>
      </c>
      <c r="F120" s="6"/>
      <c r="G120" s="49">
        <v>241338.34</v>
      </c>
      <c r="H120" s="35">
        <v>45658</v>
      </c>
      <c r="I120" s="7"/>
      <c r="J120" s="6" t="s">
        <v>24</v>
      </c>
      <c r="K120" s="8" t="s">
        <v>25</v>
      </c>
      <c r="L120" s="54">
        <f t="shared" si="30"/>
        <v>0</v>
      </c>
    </row>
    <row r="121" spans="1:12" hidden="1" x14ac:dyDescent="0.2">
      <c r="A121" s="5" t="s">
        <v>81</v>
      </c>
      <c r="B121" s="6" t="s">
        <v>82</v>
      </c>
      <c r="C121" s="6" t="s">
        <v>103</v>
      </c>
      <c r="D121" s="6" t="s">
        <v>622</v>
      </c>
      <c r="E121" s="6" t="s">
        <v>621</v>
      </c>
      <c r="F121" s="6" t="s">
        <v>104</v>
      </c>
      <c r="G121" s="49">
        <v>236477.13</v>
      </c>
      <c r="H121" s="35">
        <v>45658</v>
      </c>
      <c r="I121" s="7"/>
      <c r="J121" s="6" t="s">
        <v>24</v>
      </c>
      <c r="K121" s="8" t="s">
        <v>25</v>
      </c>
      <c r="L121" s="54">
        <f t="shared" si="30"/>
        <v>0</v>
      </c>
    </row>
    <row r="122" spans="1:12" hidden="1" x14ac:dyDescent="0.2">
      <c r="A122" s="9" t="s">
        <v>81</v>
      </c>
      <c r="B122" s="10" t="s">
        <v>82</v>
      </c>
      <c r="C122" s="10" t="s">
        <v>115</v>
      </c>
      <c r="D122" s="10" t="s">
        <v>30</v>
      </c>
      <c r="E122" s="6" t="s">
        <v>621</v>
      </c>
      <c r="F122" s="10" t="s">
        <v>136</v>
      </c>
      <c r="G122" s="48">
        <v>234329.77</v>
      </c>
      <c r="H122" s="36">
        <v>45658</v>
      </c>
      <c r="I122" s="11"/>
      <c r="J122" s="10" t="s">
        <v>24</v>
      </c>
      <c r="K122" s="12" t="s">
        <v>25</v>
      </c>
      <c r="L122" s="54">
        <f t="shared" si="30"/>
        <v>0</v>
      </c>
    </row>
    <row r="123" spans="1:12" hidden="1" x14ac:dyDescent="0.2">
      <c r="A123" s="5" t="s">
        <v>263</v>
      </c>
      <c r="B123" s="6" t="s">
        <v>264</v>
      </c>
      <c r="C123" s="6" t="e">
        <f>Data_BI!#REF!</f>
        <v>#REF!</v>
      </c>
      <c r="D123" s="6" t="s">
        <v>38</v>
      </c>
      <c r="E123" s="6" t="s">
        <v>621</v>
      </c>
      <c r="F123" s="6" t="s">
        <v>283</v>
      </c>
      <c r="G123" s="49">
        <v>220372.57</v>
      </c>
      <c r="H123" s="35">
        <v>45658</v>
      </c>
      <c r="I123" s="7"/>
      <c r="J123" s="6" t="s">
        <v>24</v>
      </c>
      <c r="K123" s="8" t="s">
        <v>266</v>
      </c>
      <c r="L123" s="54">
        <f t="shared" ref="L123:L125" si="31">(ISNUMBER(G123))-1</f>
        <v>0</v>
      </c>
    </row>
    <row r="124" spans="1:12" hidden="1" x14ac:dyDescent="0.2">
      <c r="A124" s="5" t="s">
        <v>81</v>
      </c>
      <c r="B124" s="6" t="s">
        <v>82</v>
      </c>
      <c r="C124" s="6" t="s">
        <v>115</v>
      </c>
      <c r="D124" s="6" t="s">
        <v>30</v>
      </c>
      <c r="E124" s="6" t="s">
        <v>621</v>
      </c>
      <c r="F124" s="6" t="s">
        <v>135</v>
      </c>
      <c r="G124" s="49">
        <v>218315.39</v>
      </c>
      <c r="H124" s="35">
        <v>45658</v>
      </c>
      <c r="I124" s="7"/>
      <c r="J124" s="6" t="s">
        <v>24</v>
      </c>
      <c r="K124" s="8" t="s">
        <v>25</v>
      </c>
      <c r="L124" s="54">
        <f t="shared" si="31"/>
        <v>0</v>
      </c>
    </row>
    <row r="125" spans="1:12" hidden="1" x14ac:dyDescent="0.2">
      <c r="A125" s="9" t="s">
        <v>263</v>
      </c>
      <c r="B125" s="10" t="s">
        <v>264</v>
      </c>
      <c r="C125" s="10" t="e">
        <f>Data_BI!#REF!</f>
        <v>#REF!</v>
      </c>
      <c r="D125" s="6" t="s">
        <v>622</v>
      </c>
      <c r="E125" s="6" t="s">
        <v>621</v>
      </c>
      <c r="F125" s="10" t="s">
        <v>282</v>
      </c>
      <c r="G125" s="48">
        <v>209381.03</v>
      </c>
      <c r="H125" s="36">
        <v>45658</v>
      </c>
      <c r="I125" s="11"/>
      <c r="J125" s="10" t="s">
        <v>24</v>
      </c>
      <c r="K125" s="8" t="s">
        <v>266</v>
      </c>
      <c r="L125" s="54">
        <f t="shared" si="31"/>
        <v>0</v>
      </c>
    </row>
    <row r="126" spans="1:12" hidden="1" x14ac:dyDescent="0.2">
      <c r="A126" s="5" t="s">
        <v>201</v>
      </c>
      <c r="B126" s="6" t="s">
        <v>202</v>
      </c>
      <c r="C126" s="6" t="s">
        <v>203</v>
      </c>
      <c r="D126" s="6" t="s">
        <v>622</v>
      </c>
      <c r="E126" s="6" t="s">
        <v>206</v>
      </c>
      <c r="F126" s="6"/>
      <c r="G126" s="49">
        <v>192440.71</v>
      </c>
      <c r="H126" s="35">
        <v>45658</v>
      </c>
      <c r="I126" s="7"/>
      <c r="J126" s="6" t="s">
        <v>24</v>
      </c>
      <c r="K126" s="8" t="s">
        <v>25</v>
      </c>
      <c r="L126" s="54">
        <f t="shared" ref="L126" si="32">(ISNUMBER(G126))-1</f>
        <v>0</v>
      </c>
    </row>
    <row r="127" spans="1:12" hidden="1" x14ac:dyDescent="0.2">
      <c r="A127" s="5" t="s">
        <v>15</v>
      </c>
      <c r="B127" s="6" t="s">
        <v>16</v>
      </c>
      <c r="C127" s="6" t="s">
        <v>46</v>
      </c>
      <c r="D127" s="6" t="s">
        <v>622</v>
      </c>
      <c r="E127" s="6" t="s">
        <v>621</v>
      </c>
      <c r="F127" s="6" t="s">
        <v>53</v>
      </c>
      <c r="G127" s="49">
        <v>171900</v>
      </c>
      <c r="H127" s="35">
        <v>45658</v>
      </c>
      <c r="I127" s="7"/>
      <c r="J127" s="6" t="s">
        <v>24</v>
      </c>
      <c r="K127" s="8" t="s">
        <v>25</v>
      </c>
      <c r="L127" s="54">
        <f t="shared" ref="L127:L130" si="33">(ISNUMBER(G127))-1</f>
        <v>0</v>
      </c>
    </row>
    <row r="128" spans="1:12" hidden="1" x14ac:dyDescent="0.2">
      <c r="A128" s="9" t="s">
        <v>81</v>
      </c>
      <c r="B128" s="10" t="s">
        <v>82</v>
      </c>
      <c r="C128" s="10" t="s">
        <v>115</v>
      </c>
      <c r="D128" s="10" t="s">
        <v>30</v>
      </c>
      <c r="E128" s="6" t="s">
        <v>621</v>
      </c>
      <c r="F128" s="10" t="s">
        <v>116</v>
      </c>
      <c r="G128" s="48">
        <v>165040.45000000001</v>
      </c>
      <c r="H128" s="36">
        <v>45658</v>
      </c>
      <c r="I128" s="11"/>
      <c r="J128" s="10" t="s">
        <v>24</v>
      </c>
      <c r="K128" s="12" t="s">
        <v>25</v>
      </c>
      <c r="L128" s="54">
        <f t="shared" si="33"/>
        <v>0</v>
      </c>
    </row>
    <row r="129" spans="1:12" hidden="1" x14ac:dyDescent="0.2">
      <c r="A129" s="9" t="s">
        <v>81</v>
      </c>
      <c r="B129" s="10" t="s">
        <v>82</v>
      </c>
      <c r="C129" s="10" t="s">
        <v>148</v>
      </c>
      <c r="D129" s="6" t="s">
        <v>622</v>
      </c>
      <c r="E129" s="6" t="s">
        <v>621</v>
      </c>
      <c r="F129" s="10" t="s">
        <v>159</v>
      </c>
      <c r="G129" s="48">
        <v>164234.35</v>
      </c>
      <c r="H129" s="36">
        <v>45658</v>
      </c>
      <c r="I129" s="11"/>
      <c r="J129" s="10" t="s">
        <v>24</v>
      </c>
      <c r="K129" s="12" t="s">
        <v>25</v>
      </c>
      <c r="L129" s="54">
        <f t="shared" si="33"/>
        <v>0</v>
      </c>
    </row>
    <row r="130" spans="1:12" hidden="1" x14ac:dyDescent="0.2">
      <c r="A130" s="5" t="s">
        <v>81</v>
      </c>
      <c r="B130" s="6" t="s">
        <v>82</v>
      </c>
      <c r="C130" s="6" t="s">
        <v>115</v>
      </c>
      <c r="D130" s="6" t="s">
        <v>30</v>
      </c>
      <c r="E130" s="6" t="s">
        <v>621</v>
      </c>
      <c r="F130" s="6" t="s">
        <v>129</v>
      </c>
      <c r="G130" s="49">
        <v>161583.51</v>
      </c>
      <c r="H130" s="35">
        <v>45658</v>
      </c>
      <c r="I130" s="7"/>
      <c r="J130" s="6" t="s">
        <v>24</v>
      </c>
      <c r="K130" s="8" t="s">
        <v>25</v>
      </c>
      <c r="L130" s="54">
        <f t="shared" si="33"/>
        <v>0</v>
      </c>
    </row>
    <row r="131" spans="1:12" hidden="1" x14ac:dyDescent="0.2">
      <c r="A131" s="5" t="s">
        <v>201</v>
      </c>
      <c r="B131" s="6" t="s">
        <v>202</v>
      </c>
      <c r="C131" s="6" t="s">
        <v>203</v>
      </c>
      <c r="D131" s="6" t="s">
        <v>622</v>
      </c>
      <c r="E131" s="6" t="s">
        <v>208</v>
      </c>
      <c r="F131" s="6"/>
      <c r="G131" s="49">
        <v>125147.06</v>
      </c>
      <c r="H131" s="35">
        <v>45658</v>
      </c>
      <c r="I131" s="7"/>
      <c r="J131" s="6" t="s">
        <v>24</v>
      </c>
      <c r="K131" s="8" t="s">
        <v>25</v>
      </c>
      <c r="L131" s="54">
        <f t="shared" ref="L131:L132" si="34">(ISNUMBER(G131))-1</f>
        <v>0</v>
      </c>
    </row>
    <row r="132" spans="1:12" hidden="1" x14ac:dyDescent="0.2">
      <c r="A132" s="9" t="s">
        <v>15</v>
      </c>
      <c r="B132" s="10" t="s">
        <v>16</v>
      </c>
      <c r="C132" s="10" t="s">
        <v>46</v>
      </c>
      <c r="D132" s="6" t="s">
        <v>622</v>
      </c>
      <c r="E132" s="6" t="s">
        <v>621</v>
      </c>
      <c r="F132" s="10" t="s">
        <v>52</v>
      </c>
      <c r="G132" s="48">
        <v>117865.16</v>
      </c>
      <c r="H132" s="36">
        <v>45658</v>
      </c>
      <c r="I132" s="11"/>
      <c r="J132" s="10" t="s">
        <v>24</v>
      </c>
      <c r="K132" s="12" t="s">
        <v>25</v>
      </c>
      <c r="L132" s="54">
        <f t="shared" si="34"/>
        <v>0</v>
      </c>
    </row>
    <row r="133" spans="1:12" hidden="1" x14ac:dyDescent="0.2">
      <c r="A133" s="9" t="s">
        <v>201</v>
      </c>
      <c r="B133" s="10" t="s">
        <v>214</v>
      </c>
      <c r="C133" s="10" t="s">
        <v>215</v>
      </c>
      <c r="D133" s="6" t="s">
        <v>622</v>
      </c>
      <c r="E133" s="6" t="s">
        <v>208</v>
      </c>
      <c r="F133" s="10"/>
      <c r="G133" s="48">
        <v>105735.519999999</v>
      </c>
      <c r="H133" s="36">
        <v>45658</v>
      </c>
      <c r="I133" s="11"/>
      <c r="J133" s="10" t="s">
        <v>24</v>
      </c>
      <c r="K133" s="12" t="s">
        <v>25</v>
      </c>
      <c r="L133" s="54">
        <f t="shared" ref="L133" si="35">(ISNUMBER(G133))-1</f>
        <v>0</v>
      </c>
    </row>
    <row r="134" spans="1:12" hidden="1" x14ac:dyDescent="0.2">
      <c r="A134" s="5" t="s">
        <v>15</v>
      </c>
      <c r="B134" s="6" t="s">
        <v>16</v>
      </c>
      <c r="C134" s="6" t="s">
        <v>17</v>
      </c>
      <c r="D134" s="6" t="s">
        <v>622</v>
      </c>
      <c r="E134" s="6" t="s">
        <v>621</v>
      </c>
      <c r="F134" s="6" t="s">
        <v>19</v>
      </c>
      <c r="G134" s="49">
        <v>99411.47</v>
      </c>
      <c r="H134" s="35">
        <v>45658</v>
      </c>
      <c r="I134" s="7"/>
      <c r="J134" s="6" t="s">
        <v>24</v>
      </c>
      <c r="K134" s="8" t="s">
        <v>25</v>
      </c>
      <c r="L134" s="54">
        <f t="shared" ref="L134:L135" si="36">(ISNUMBER(G134))-1</f>
        <v>0</v>
      </c>
    </row>
    <row r="135" spans="1:12" hidden="1" x14ac:dyDescent="0.2">
      <c r="A135" s="9" t="s">
        <v>221</v>
      </c>
      <c r="B135" s="10" t="s">
        <v>222</v>
      </c>
      <c r="C135" s="10" t="s">
        <v>222</v>
      </c>
      <c r="D135" s="6" t="s">
        <v>622</v>
      </c>
      <c r="E135" s="6" t="s">
        <v>621</v>
      </c>
      <c r="F135" s="10" t="s">
        <v>225</v>
      </c>
      <c r="G135" s="48">
        <v>98288.51</v>
      </c>
      <c r="H135" s="36">
        <v>45658</v>
      </c>
      <c r="I135" s="11"/>
      <c r="J135" s="10" t="s">
        <v>24</v>
      </c>
      <c r="K135" s="12" t="s">
        <v>25</v>
      </c>
      <c r="L135" s="54">
        <f t="shared" si="36"/>
        <v>0</v>
      </c>
    </row>
    <row r="136" spans="1:12" hidden="1" x14ac:dyDescent="0.2">
      <c r="A136" s="9" t="s">
        <v>81</v>
      </c>
      <c r="B136" s="10" t="s">
        <v>82</v>
      </c>
      <c r="C136" s="10" t="s">
        <v>115</v>
      </c>
      <c r="D136" s="10" t="s">
        <v>30</v>
      </c>
      <c r="E136" s="6" t="s">
        <v>621</v>
      </c>
      <c r="F136" s="10" t="s">
        <v>134</v>
      </c>
      <c r="G136" s="48">
        <v>92272.28</v>
      </c>
      <c r="H136" s="36">
        <v>45658</v>
      </c>
      <c r="I136" s="11"/>
      <c r="J136" s="10" t="s">
        <v>24</v>
      </c>
      <c r="K136" s="12" t="s">
        <v>25</v>
      </c>
      <c r="L136" s="54">
        <f t="shared" ref="L136" si="37">(ISNUMBER(G136))-1</f>
        <v>0</v>
      </c>
    </row>
    <row r="137" spans="1:12" hidden="1" x14ac:dyDescent="0.2">
      <c r="A137" s="5" t="s">
        <v>221</v>
      </c>
      <c r="B137" s="6" t="s">
        <v>222</v>
      </c>
      <c r="C137" s="6" t="s">
        <v>222</v>
      </c>
      <c r="D137" s="6" t="s">
        <v>622</v>
      </c>
      <c r="E137" s="6" t="s">
        <v>621</v>
      </c>
      <c r="F137" s="6" t="s">
        <v>224</v>
      </c>
      <c r="G137" s="49">
        <v>86918.13</v>
      </c>
      <c r="H137" s="35">
        <v>45658</v>
      </c>
      <c r="I137" s="7"/>
      <c r="J137" s="6" t="s">
        <v>24</v>
      </c>
      <c r="K137" s="8" t="s">
        <v>25</v>
      </c>
      <c r="L137" s="54">
        <f t="shared" ref="L137:L139" si="38">(ISNUMBER(G137))-1</f>
        <v>0</v>
      </c>
    </row>
    <row r="138" spans="1:12" hidden="1" x14ac:dyDescent="0.2">
      <c r="A138" s="5" t="s">
        <v>201</v>
      </c>
      <c r="B138" s="6" t="s">
        <v>214</v>
      </c>
      <c r="C138" s="6" t="s">
        <v>215</v>
      </c>
      <c r="D138" s="6" t="s">
        <v>622</v>
      </c>
      <c r="E138" s="6" t="s">
        <v>216</v>
      </c>
      <c r="F138" s="6"/>
      <c r="G138" s="49">
        <v>83924.43</v>
      </c>
      <c r="H138" s="35">
        <v>45658</v>
      </c>
      <c r="I138" s="7"/>
      <c r="J138" s="6" t="s">
        <v>24</v>
      </c>
      <c r="K138" s="8" t="s">
        <v>25</v>
      </c>
      <c r="L138" s="54">
        <f t="shared" si="38"/>
        <v>0</v>
      </c>
    </row>
    <row r="139" spans="1:12" hidden="1" x14ac:dyDescent="0.2">
      <c r="A139" s="5" t="s">
        <v>81</v>
      </c>
      <c r="B139" s="6" t="s">
        <v>82</v>
      </c>
      <c r="C139" s="6" t="s">
        <v>115</v>
      </c>
      <c r="D139" s="6" t="s">
        <v>30</v>
      </c>
      <c r="E139" s="6" t="s">
        <v>621</v>
      </c>
      <c r="F139" s="6" t="s">
        <v>133</v>
      </c>
      <c r="G139" s="49">
        <v>76409.11</v>
      </c>
      <c r="H139" s="35">
        <v>45658</v>
      </c>
      <c r="I139" s="7"/>
      <c r="J139" s="6" t="s">
        <v>24</v>
      </c>
      <c r="K139" s="8" t="s">
        <v>25</v>
      </c>
      <c r="L139" s="54">
        <f t="shared" si="38"/>
        <v>0</v>
      </c>
    </row>
    <row r="140" spans="1:12" hidden="1" x14ac:dyDescent="0.2">
      <c r="A140" s="9" t="s">
        <v>201</v>
      </c>
      <c r="B140" s="10" t="s">
        <v>214</v>
      </c>
      <c r="C140" s="10" t="s">
        <v>215</v>
      </c>
      <c r="D140" s="6" t="s">
        <v>622</v>
      </c>
      <c r="E140" s="6" t="s">
        <v>211</v>
      </c>
      <c r="F140" s="10"/>
      <c r="G140" s="48">
        <v>75518.36</v>
      </c>
      <c r="H140" s="36">
        <v>45658</v>
      </c>
      <c r="I140" s="11"/>
      <c r="J140" s="10" t="s">
        <v>24</v>
      </c>
      <c r="K140" s="12" t="s">
        <v>25</v>
      </c>
      <c r="L140" s="54">
        <f t="shared" ref="L140:L141" si="39">(ISNUMBER(G140))-1</f>
        <v>0</v>
      </c>
    </row>
    <row r="141" spans="1:12" hidden="1" x14ac:dyDescent="0.2">
      <c r="A141" s="5" t="s">
        <v>263</v>
      </c>
      <c r="B141" s="6" t="s">
        <v>264</v>
      </c>
      <c r="C141" s="6" t="e">
        <f>Data_BI!#REF!</f>
        <v>#REF!</v>
      </c>
      <c r="D141" s="6" t="s">
        <v>622</v>
      </c>
      <c r="E141" s="6" t="s">
        <v>621</v>
      </c>
      <c r="F141" s="6" t="s">
        <v>281</v>
      </c>
      <c r="G141" s="49">
        <v>71251.31</v>
      </c>
      <c r="H141" s="35">
        <v>45658</v>
      </c>
      <c r="I141" s="7"/>
      <c r="J141" s="6" t="s">
        <v>24</v>
      </c>
      <c r="K141" s="8" t="s">
        <v>266</v>
      </c>
      <c r="L141" s="54">
        <f t="shared" si="39"/>
        <v>0</v>
      </c>
    </row>
    <row r="142" spans="1:12" hidden="1" x14ac:dyDescent="0.2">
      <c r="A142" s="5" t="s">
        <v>201</v>
      </c>
      <c r="B142" s="6" t="s">
        <v>202</v>
      </c>
      <c r="C142" s="6" t="s">
        <v>203</v>
      </c>
      <c r="D142" s="6" t="s">
        <v>622</v>
      </c>
      <c r="E142" s="6" t="s">
        <v>212</v>
      </c>
      <c r="F142" s="6"/>
      <c r="G142" s="49">
        <v>64729.2599999999</v>
      </c>
      <c r="H142" s="35">
        <v>45658</v>
      </c>
      <c r="I142" s="7"/>
      <c r="J142" s="6" t="s">
        <v>24</v>
      </c>
      <c r="K142" s="8" t="s">
        <v>25</v>
      </c>
      <c r="L142" s="54">
        <f t="shared" ref="L142:L143" si="40">(ISNUMBER(G142))-1</f>
        <v>0</v>
      </c>
    </row>
    <row r="143" spans="1:12" hidden="1" x14ac:dyDescent="0.2">
      <c r="A143" s="5" t="s">
        <v>15</v>
      </c>
      <c r="B143" s="6" t="s">
        <v>16</v>
      </c>
      <c r="C143" s="6" t="s">
        <v>46</v>
      </c>
      <c r="D143" s="6" t="s">
        <v>622</v>
      </c>
      <c r="E143" s="6" t="s">
        <v>621</v>
      </c>
      <c r="F143" s="6" t="s">
        <v>51</v>
      </c>
      <c r="G143" s="49">
        <v>62589.74</v>
      </c>
      <c r="H143" s="35">
        <v>45658</v>
      </c>
      <c r="I143" s="7"/>
      <c r="J143" s="6" t="s">
        <v>24</v>
      </c>
      <c r="K143" s="8" t="s">
        <v>25</v>
      </c>
      <c r="L143" s="54">
        <f t="shared" si="40"/>
        <v>0</v>
      </c>
    </row>
    <row r="144" spans="1:12" hidden="1" x14ac:dyDescent="0.2">
      <c r="A144" s="9" t="s">
        <v>201</v>
      </c>
      <c r="B144" s="10" t="s">
        <v>202</v>
      </c>
      <c r="C144" s="10" t="s">
        <v>203</v>
      </c>
      <c r="D144" s="6" t="s">
        <v>622</v>
      </c>
      <c r="E144" s="6" t="s">
        <v>210</v>
      </c>
      <c r="F144" s="10"/>
      <c r="G144" s="48">
        <v>58034.13</v>
      </c>
      <c r="H144" s="36">
        <v>45658</v>
      </c>
      <c r="I144" s="11"/>
      <c r="J144" s="10" t="s">
        <v>24</v>
      </c>
      <c r="K144" s="12" t="s">
        <v>25</v>
      </c>
      <c r="L144" s="54">
        <f t="shared" ref="L144:L148" si="41">(ISNUMBER(G144))-1</f>
        <v>0</v>
      </c>
    </row>
    <row r="145" spans="1:12" hidden="1" x14ac:dyDescent="0.2">
      <c r="A145" s="5" t="s">
        <v>81</v>
      </c>
      <c r="B145" s="6" t="s">
        <v>82</v>
      </c>
      <c r="C145" s="6" t="s">
        <v>148</v>
      </c>
      <c r="D145" s="6" t="s">
        <v>622</v>
      </c>
      <c r="E145" s="6" t="s">
        <v>621</v>
      </c>
      <c r="F145" s="6" t="s">
        <v>158</v>
      </c>
      <c r="G145" s="49">
        <v>57500</v>
      </c>
      <c r="H145" s="35">
        <v>45658</v>
      </c>
      <c r="I145" s="7"/>
      <c r="J145" s="6" t="s">
        <v>24</v>
      </c>
      <c r="K145" s="8" t="s">
        <v>25</v>
      </c>
      <c r="L145" s="54">
        <f t="shared" si="41"/>
        <v>0</v>
      </c>
    </row>
    <row r="146" spans="1:12" hidden="1" x14ac:dyDescent="0.2">
      <c r="A146" s="5" t="s">
        <v>201</v>
      </c>
      <c r="B146" s="6" t="s">
        <v>202</v>
      </c>
      <c r="C146" s="6" t="s">
        <v>203</v>
      </c>
      <c r="D146" s="6" t="s">
        <v>622</v>
      </c>
      <c r="E146" s="6" t="s">
        <v>209</v>
      </c>
      <c r="F146" s="6"/>
      <c r="G146" s="49">
        <v>57299.11</v>
      </c>
      <c r="H146" s="35">
        <v>45658</v>
      </c>
      <c r="I146" s="7"/>
      <c r="J146" s="6" t="s">
        <v>24</v>
      </c>
      <c r="K146" s="8" t="s">
        <v>25</v>
      </c>
      <c r="L146" s="54">
        <f t="shared" si="41"/>
        <v>0</v>
      </c>
    </row>
    <row r="147" spans="1:12" hidden="1" x14ac:dyDescent="0.2">
      <c r="A147" s="9" t="s">
        <v>221</v>
      </c>
      <c r="B147" s="10" t="s">
        <v>222</v>
      </c>
      <c r="C147" s="10" t="s">
        <v>222</v>
      </c>
      <c r="D147" s="6" t="s">
        <v>622</v>
      </c>
      <c r="E147" s="6" t="s">
        <v>621</v>
      </c>
      <c r="F147" s="10" t="s">
        <v>223</v>
      </c>
      <c r="G147" s="48">
        <v>56928</v>
      </c>
      <c r="H147" s="36">
        <v>45658</v>
      </c>
      <c r="I147" s="11"/>
      <c r="J147" s="10" t="s">
        <v>24</v>
      </c>
      <c r="K147" s="12" t="s">
        <v>25</v>
      </c>
      <c r="L147" s="54">
        <f t="shared" si="41"/>
        <v>0</v>
      </c>
    </row>
    <row r="148" spans="1:12" hidden="1" x14ac:dyDescent="0.2">
      <c r="A148" s="5" t="s">
        <v>252</v>
      </c>
      <c r="B148" s="6" t="s">
        <v>253</v>
      </c>
      <c r="C148" s="6" t="e">
        <f>Data_BI!#REF!</f>
        <v>#REF!</v>
      </c>
      <c r="D148" s="6" t="s">
        <v>622</v>
      </c>
      <c r="E148" s="6" t="s">
        <v>621</v>
      </c>
      <c r="F148" s="6" t="s">
        <v>261</v>
      </c>
      <c r="G148" s="49">
        <v>55772.04</v>
      </c>
      <c r="H148" s="35">
        <v>45658</v>
      </c>
      <c r="I148" s="7"/>
      <c r="J148" s="6" t="s">
        <v>24</v>
      </c>
      <c r="K148" s="8" t="s">
        <v>25</v>
      </c>
      <c r="L148" s="54">
        <f t="shared" si="41"/>
        <v>0</v>
      </c>
    </row>
    <row r="149" spans="1:12" hidden="1" x14ac:dyDescent="0.2">
      <c r="A149" s="9" t="s">
        <v>263</v>
      </c>
      <c r="B149" s="10" t="s">
        <v>264</v>
      </c>
      <c r="C149" s="10" t="e">
        <f>Data_BI!#REF!</f>
        <v>#REF!</v>
      </c>
      <c r="D149" s="10" t="s">
        <v>38</v>
      </c>
      <c r="E149" s="6" t="s">
        <v>621</v>
      </c>
      <c r="F149" s="10" t="s">
        <v>280</v>
      </c>
      <c r="G149" s="48">
        <v>54880.58</v>
      </c>
      <c r="H149" s="36">
        <v>45658</v>
      </c>
      <c r="I149" s="11"/>
      <c r="J149" s="10" t="s">
        <v>24</v>
      </c>
      <c r="K149" s="8" t="s">
        <v>266</v>
      </c>
      <c r="L149" s="54">
        <f t="shared" ref="L149:L150" si="42">(ISNUMBER(G149))-1</f>
        <v>0</v>
      </c>
    </row>
    <row r="150" spans="1:12" hidden="1" x14ac:dyDescent="0.2">
      <c r="A150" s="9" t="s">
        <v>15</v>
      </c>
      <c r="B150" s="10" t="s">
        <v>16</v>
      </c>
      <c r="C150" s="10" t="s">
        <v>46</v>
      </c>
      <c r="D150" s="6" t="s">
        <v>622</v>
      </c>
      <c r="E150" s="6" t="s">
        <v>621</v>
      </c>
      <c r="F150" s="10" t="s">
        <v>50</v>
      </c>
      <c r="G150" s="48">
        <v>51624.81</v>
      </c>
      <c r="H150" s="36">
        <v>45658</v>
      </c>
      <c r="I150" s="11"/>
      <c r="J150" s="10" t="s">
        <v>24</v>
      </c>
      <c r="K150" s="12" t="s">
        <v>25</v>
      </c>
      <c r="L150" s="54">
        <f t="shared" si="42"/>
        <v>0</v>
      </c>
    </row>
    <row r="151" spans="1:12" hidden="1" x14ac:dyDescent="0.2">
      <c r="A151" s="9" t="s">
        <v>81</v>
      </c>
      <c r="B151" s="10" t="s">
        <v>82</v>
      </c>
      <c r="C151" s="10" t="s">
        <v>148</v>
      </c>
      <c r="D151" s="6" t="s">
        <v>622</v>
      </c>
      <c r="E151" s="6" t="s">
        <v>621</v>
      </c>
      <c r="F151" s="10" t="s">
        <v>157</v>
      </c>
      <c r="G151" s="48">
        <v>50425</v>
      </c>
      <c r="H151" s="36">
        <v>45658</v>
      </c>
      <c r="I151" s="11"/>
      <c r="J151" s="10" t="s">
        <v>24</v>
      </c>
      <c r="K151" s="12" t="s">
        <v>25</v>
      </c>
      <c r="L151" s="54">
        <f t="shared" ref="L151" si="43">(ISNUMBER(G151))-1</f>
        <v>0</v>
      </c>
    </row>
    <row r="152" spans="1:12" hidden="1" x14ac:dyDescent="0.2">
      <c r="A152" s="9" t="s">
        <v>201</v>
      </c>
      <c r="B152" s="10" t="s">
        <v>202</v>
      </c>
      <c r="C152" s="10" t="s">
        <v>203</v>
      </c>
      <c r="D152" s="6" t="s">
        <v>622</v>
      </c>
      <c r="E152" s="6" t="s">
        <v>207</v>
      </c>
      <c r="F152" s="10"/>
      <c r="G152" s="48">
        <v>41928.26</v>
      </c>
      <c r="H152" s="36">
        <v>45658</v>
      </c>
      <c r="I152" s="11"/>
      <c r="J152" s="10" t="s">
        <v>24</v>
      </c>
      <c r="K152" s="12" t="s">
        <v>25</v>
      </c>
      <c r="L152" s="54">
        <f t="shared" ref="L152" si="44">(ISNUMBER(G152))-1</f>
        <v>0</v>
      </c>
    </row>
    <row r="153" spans="1:12" hidden="1" x14ac:dyDescent="0.2">
      <c r="A153" s="5" t="s">
        <v>15</v>
      </c>
      <c r="B153" s="6" t="s">
        <v>16</v>
      </c>
      <c r="C153" s="6" t="s">
        <v>34</v>
      </c>
      <c r="D153" s="6" t="s">
        <v>30</v>
      </c>
      <c r="E153" s="6" t="s">
        <v>621</v>
      </c>
      <c r="F153" s="6" t="s">
        <v>35</v>
      </c>
      <c r="G153" s="49">
        <v>36658.78</v>
      </c>
      <c r="H153" s="35">
        <v>45658</v>
      </c>
      <c r="I153" s="7"/>
      <c r="J153" s="6" t="s">
        <v>24</v>
      </c>
      <c r="K153" s="8" t="s">
        <v>25</v>
      </c>
      <c r="L153" s="54">
        <f t="shared" ref="L153:L155" si="45">(ISNUMBER(G153))-1</f>
        <v>0</v>
      </c>
    </row>
    <row r="154" spans="1:12" hidden="1" x14ac:dyDescent="0.2">
      <c r="A154" s="5" t="s">
        <v>81</v>
      </c>
      <c r="B154" s="6" t="s">
        <v>82</v>
      </c>
      <c r="C154" s="6" t="s">
        <v>148</v>
      </c>
      <c r="D154" s="6" t="s">
        <v>622</v>
      </c>
      <c r="E154" s="6" t="s">
        <v>621</v>
      </c>
      <c r="F154" s="6" t="s">
        <v>156</v>
      </c>
      <c r="G154" s="49">
        <v>36500</v>
      </c>
      <c r="H154" s="35">
        <v>45658</v>
      </c>
      <c r="I154" s="7"/>
      <c r="J154" s="6" t="s">
        <v>24</v>
      </c>
      <c r="K154" s="8" t="s">
        <v>25</v>
      </c>
      <c r="L154" s="54">
        <f t="shared" si="45"/>
        <v>0</v>
      </c>
    </row>
    <row r="155" spans="1:12" hidden="1" x14ac:dyDescent="0.2">
      <c r="A155" s="5" t="s">
        <v>201</v>
      </c>
      <c r="B155" s="6" t="s">
        <v>202</v>
      </c>
      <c r="C155" s="6" t="s">
        <v>203</v>
      </c>
      <c r="D155" s="6" t="s">
        <v>622</v>
      </c>
      <c r="E155" s="6" t="s">
        <v>211</v>
      </c>
      <c r="F155" s="6"/>
      <c r="G155" s="49">
        <v>36220.53</v>
      </c>
      <c r="H155" s="35">
        <v>45658</v>
      </c>
      <c r="I155" s="7"/>
      <c r="J155" s="6" t="s">
        <v>24</v>
      </c>
      <c r="K155" s="8" t="s">
        <v>25</v>
      </c>
      <c r="L155" s="54">
        <f t="shared" si="45"/>
        <v>0</v>
      </c>
    </row>
    <row r="156" spans="1:12" hidden="1" x14ac:dyDescent="0.2">
      <c r="A156" s="9" t="s">
        <v>81</v>
      </c>
      <c r="B156" s="10" t="s">
        <v>82</v>
      </c>
      <c r="C156" s="10" t="s">
        <v>115</v>
      </c>
      <c r="D156" s="10" t="s">
        <v>30</v>
      </c>
      <c r="E156" s="6" t="s">
        <v>621</v>
      </c>
      <c r="F156" s="10" t="s">
        <v>132</v>
      </c>
      <c r="G156" s="48">
        <v>34418.51</v>
      </c>
      <c r="H156" s="36">
        <v>45658</v>
      </c>
      <c r="I156" s="11"/>
      <c r="J156" s="10" t="s">
        <v>24</v>
      </c>
      <c r="K156" s="12" t="s">
        <v>25</v>
      </c>
      <c r="L156" s="54">
        <f t="shared" ref="L156:L157" si="46">(ISNUMBER(G156))-1</f>
        <v>0</v>
      </c>
    </row>
    <row r="157" spans="1:12" hidden="1" x14ac:dyDescent="0.2">
      <c r="A157" s="5" t="s">
        <v>81</v>
      </c>
      <c r="B157" s="6" t="s">
        <v>82</v>
      </c>
      <c r="C157" s="6" t="s">
        <v>115</v>
      </c>
      <c r="D157" s="6" t="s">
        <v>30</v>
      </c>
      <c r="E157" s="6" t="s">
        <v>621</v>
      </c>
      <c r="F157" s="6" t="s">
        <v>131</v>
      </c>
      <c r="G157" s="49">
        <v>34304.61</v>
      </c>
      <c r="H157" s="35">
        <v>45658</v>
      </c>
      <c r="I157" s="7"/>
      <c r="J157" s="6" t="s">
        <v>24</v>
      </c>
      <c r="K157" s="8" t="s">
        <v>25</v>
      </c>
      <c r="L157" s="54">
        <f t="shared" si="46"/>
        <v>0</v>
      </c>
    </row>
    <row r="158" spans="1:12" hidden="1" x14ac:dyDescent="0.2">
      <c r="A158" s="5" t="s">
        <v>263</v>
      </c>
      <c r="B158" s="6" t="s">
        <v>264</v>
      </c>
      <c r="C158" s="6" t="e">
        <f>Data_BI!#REF!</f>
        <v>#REF!</v>
      </c>
      <c r="D158" s="6" t="s">
        <v>30</v>
      </c>
      <c r="E158" s="6" t="s">
        <v>621</v>
      </c>
      <c r="F158" s="6" t="s">
        <v>272</v>
      </c>
      <c r="G158" s="49">
        <v>31262.99</v>
      </c>
      <c r="H158" s="35">
        <v>45658</v>
      </c>
      <c r="I158" s="7"/>
      <c r="J158" s="6" t="s">
        <v>24</v>
      </c>
      <c r="K158" s="8" t="s">
        <v>266</v>
      </c>
      <c r="L158" s="54">
        <f t="shared" ref="L158:L160" si="47">(ISNUMBER(G158))-1</f>
        <v>0</v>
      </c>
    </row>
    <row r="159" spans="1:12" hidden="1" x14ac:dyDescent="0.2">
      <c r="A159" s="9" t="s">
        <v>263</v>
      </c>
      <c r="B159" s="10" t="s">
        <v>264</v>
      </c>
      <c r="C159" s="10" t="e">
        <f>Data_BI!#REF!</f>
        <v>#REF!</v>
      </c>
      <c r="D159" s="10" t="s">
        <v>30</v>
      </c>
      <c r="E159" s="6" t="s">
        <v>621</v>
      </c>
      <c r="F159" s="10" t="s">
        <v>279</v>
      </c>
      <c r="G159" s="48">
        <v>30174.81</v>
      </c>
      <c r="H159" s="36">
        <v>45658</v>
      </c>
      <c r="I159" s="11"/>
      <c r="J159" s="10" t="s">
        <v>24</v>
      </c>
      <c r="K159" s="8" t="s">
        <v>266</v>
      </c>
      <c r="L159" s="54">
        <f t="shared" si="47"/>
        <v>0</v>
      </c>
    </row>
    <row r="160" spans="1:12" hidden="1" x14ac:dyDescent="0.2">
      <c r="A160" s="9" t="s">
        <v>252</v>
      </c>
      <c r="B160" s="10" t="s">
        <v>253</v>
      </c>
      <c r="C160" s="10" t="e">
        <f>Data_BI!#REF!</f>
        <v>#REF!</v>
      </c>
      <c r="D160" s="6" t="s">
        <v>622</v>
      </c>
      <c r="E160" s="6" t="s">
        <v>621</v>
      </c>
      <c r="F160" s="10" t="s">
        <v>260</v>
      </c>
      <c r="G160" s="48">
        <v>30000</v>
      </c>
      <c r="H160" s="36">
        <v>45658</v>
      </c>
      <c r="I160" s="11"/>
      <c r="J160" s="10" t="s">
        <v>24</v>
      </c>
      <c r="K160" s="12" t="s">
        <v>25</v>
      </c>
      <c r="L160" s="54">
        <f t="shared" si="47"/>
        <v>0</v>
      </c>
    </row>
    <row r="161" spans="1:12" hidden="1" x14ac:dyDescent="0.2">
      <c r="A161" s="9" t="s">
        <v>81</v>
      </c>
      <c r="B161" s="10" t="s">
        <v>82</v>
      </c>
      <c r="C161" s="10" t="s">
        <v>148</v>
      </c>
      <c r="D161" s="10" t="s">
        <v>38</v>
      </c>
      <c r="E161" s="6" t="s">
        <v>621</v>
      </c>
      <c r="F161" s="10" t="s">
        <v>155</v>
      </c>
      <c r="G161" s="48">
        <v>29766.69</v>
      </c>
      <c r="H161" s="36">
        <v>45658</v>
      </c>
      <c r="I161" s="11"/>
      <c r="J161" s="10" t="s">
        <v>24</v>
      </c>
      <c r="K161" s="12" t="s">
        <v>25</v>
      </c>
      <c r="L161" s="54">
        <f t="shared" ref="L161:L163" si="48">(ISNUMBER(G161))-1</f>
        <v>0</v>
      </c>
    </row>
    <row r="162" spans="1:12" hidden="1" x14ac:dyDescent="0.2">
      <c r="A162" s="9" t="s">
        <v>81</v>
      </c>
      <c r="B162" s="10" t="s">
        <v>82</v>
      </c>
      <c r="C162" s="10" t="s">
        <v>111</v>
      </c>
      <c r="D162" s="6" t="s">
        <v>622</v>
      </c>
      <c r="E162" s="6" t="s">
        <v>621</v>
      </c>
      <c r="F162" s="10" t="s">
        <v>112</v>
      </c>
      <c r="G162" s="48">
        <v>28305.23</v>
      </c>
      <c r="H162" s="36">
        <v>45658</v>
      </c>
      <c r="I162" s="11"/>
      <c r="J162" s="10" t="s">
        <v>24</v>
      </c>
      <c r="K162" s="12" t="s">
        <v>25</v>
      </c>
      <c r="L162" s="54">
        <f t="shared" si="48"/>
        <v>0</v>
      </c>
    </row>
    <row r="163" spans="1:12" hidden="1" x14ac:dyDescent="0.2">
      <c r="A163" s="5" t="s">
        <v>81</v>
      </c>
      <c r="B163" s="6" t="s">
        <v>82</v>
      </c>
      <c r="C163" s="6" t="s">
        <v>148</v>
      </c>
      <c r="D163" s="6" t="s">
        <v>38</v>
      </c>
      <c r="E163" s="6" t="s">
        <v>621</v>
      </c>
      <c r="F163" s="6" t="s">
        <v>154</v>
      </c>
      <c r="G163" s="49">
        <v>28000</v>
      </c>
      <c r="H163" s="35">
        <v>45658</v>
      </c>
      <c r="I163" s="7"/>
      <c r="J163" s="6" t="s">
        <v>24</v>
      </c>
      <c r="K163" s="8" t="s">
        <v>25</v>
      </c>
      <c r="L163" s="54">
        <f t="shared" si="48"/>
        <v>0</v>
      </c>
    </row>
    <row r="164" spans="1:12" hidden="1" x14ac:dyDescent="0.2">
      <c r="A164" s="9" t="s">
        <v>81</v>
      </c>
      <c r="B164" s="10" t="s">
        <v>82</v>
      </c>
      <c r="C164" s="10" t="s">
        <v>148</v>
      </c>
      <c r="D164" s="10" t="s">
        <v>38</v>
      </c>
      <c r="E164" s="6" t="s">
        <v>621</v>
      </c>
      <c r="F164" s="10" t="s">
        <v>153</v>
      </c>
      <c r="G164" s="48">
        <v>27000</v>
      </c>
      <c r="H164" s="36">
        <v>45658</v>
      </c>
      <c r="I164" s="11"/>
      <c r="J164" s="10" t="s">
        <v>24</v>
      </c>
      <c r="K164" s="12" t="s">
        <v>25</v>
      </c>
      <c r="L164" s="54">
        <f t="shared" ref="L164" si="49">(ISNUMBER(G164))-1</f>
        <v>0</v>
      </c>
    </row>
    <row r="165" spans="1:12" hidden="1" x14ac:dyDescent="0.2">
      <c r="A165" s="5" t="s">
        <v>81</v>
      </c>
      <c r="B165" s="6" t="s">
        <v>82</v>
      </c>
      <c r="C165" s="6" t="s">
        <v>111</v>
      </c>
      <c r="D165" s="6" t="s">
        <v>30</v>
      </c>
      <c r="E165" s="6" t="s">
        <v>621</v>
      </c>
      <c r="F165" s="6" t="s">
        <v>114</v>
      </c>
      <c r="G165" s="49">
        <v>25266.22</v>
      </c>
      <c r="H165" s="35">
        <v>45658</v>
      </c>
      <c r="I165" s="7"/>
      <c r="J165" s="6" t="s">
        <v>24</v>
      </c>
      <c r="K165" s="8" t="s">
        <v>25</v>
      </c>
      <c r="L165" s="54">
        <f t="shared" ref="L165" si="50">(ISNUMBER(G165))-1</f>
        <v>0</v>
      </c>
    </row>
    <row r="166" spans="1:12" hidden="1" x14ac:dyDescent="0.2">
      <c r="A166" s="9" t="s">
        <v>81</v>
      </c>
      <c r="B166" s="10" t="s">
        <v>82</v>
      </c>
      <c r="C166" s="10" t="s">
        <v>115</v>
      </c>
      <c r="D166" s="10" t="s">
        <v>30</v>
      </c>
      <c r="E166" s="6" t="s">
        <v>621</v>
      </c>
      <c r="F166" s="10" t="s">
        <v>130</v>
      </c>
      <c r="G166" s="48">
        <v>21884.82</v>
      </c>
      <c r="H166" s="36">
        <v>45658</v>
      </c>
      <c r="I166" s="11"/>
      <c r="J166" s="10" t="s">
        <v>24</v>
      </c>
      <c r="K166" s="12" t="s">
        <v>25</v>
      </c>
      <c r="L166" s="54">
        <f t="shared" ref="L166" si="51">(ISNUMBER(G166))-1</f>
        <v>0</v>
      </c>
    </row>
    <row r="167" spans="1:12" hidden="1" x14ac:dyDescent="0.2">
      <c r="A167" s="5" t="s">
        <v>15</v>
      </c>
      <c r="B167" s="6" t="s">
        <v>16</v>
      </c>
      <c r="C167" s="6" t="s">
        <v>46</v>
      </c>
      <c r="D167" s="6" t="s">
        <v>622</v>
      </c>
      <c r="E167" s="6" t="s">
        <v>621</v>
      </c>
      <c r="F167" s="6" t="s">
        <v>49</v>
      </c>
      <c r="G167" s="49">
        <v>19168.29</v>
      </c>
      <c r="H167" s="35">
        <v>45658</v>
      </c>
      <c r="I167" s="7"/>
      <c r="J167" s="6" t="s">
        <v>24</v>
      </c>
      <c r="K167" s="8" t="s">
        <v>25</v>
      </c>
      <c r="L167" s="54">
        <f t="shared" ref="L167" si="52">(ISNUMBER(G167))-1</f>
        <v>0</v>
      </c>
    </row>
    <row r="168" spans="1:12" hidden="1" x14ac:dyDescent="0.2">
      <c r="A168" s="5" t="s">
        <v>263</v>
      </c>
      <c r="B168" s="6" t="s">
        <v>264</v>
      </c>
      <c r="C168" s="6" t="e">
        <f>Data_BI!#REF!</f>
        <v>#REF!</v>
      </c>
      <c r="D168" s="6" t="s">
        <v>622</v>
      </c>
      <c r="E168" s="6" t="s">
        <v>621</v>
      </c>
      <c r="F168" s="6" t="s">
        <v>278</v>
      </c>
      <c r="G168" s="49">
        <v>18991.560000000001</v>
      </c>
      <c r="H168" s="35">
        <v>45658</v>
      </c>
      <c r="I168" s="7"/>
      <c r="J168" s="6" t="s">
        <v>24</v>
      </c>
      <c r="K168" s="8" t="s">
        <v>266</v>
      </c>
      <c r="L168" s="54">
        <f t="shared" ref="L168:L170" si="53">(ISNUMBER(G168))-1</f>
        <v>0</v>
      </c>
    </row>
    <row r="169" spans="1:12" hidden="1" x14ac:dyDescent="0.2">
      <c r="A169" s="9" t="s">
        <v>15</v>
      </c>
      <c r="B169" s="10" t="s">
        <v>16</v>
      </c>
      <c r="C169" s="10" t="s">
        <v>46</v>
      </c>
      <c r="D169" s="6" t="s">
        <v>622</v>
      </c>
      <c r="E169" s="6" t="s">
        <v>621</v>
      </c>
      <c r="F169" s="10" t="s">
        <v>48</v>
      </c>
      <c r="G169" s="48">
        <v>18196.36</v>
      </c>
      <c r="H169" s="36">
        <v>45658</v>
      </c>
      <c r="I169" s="11"/>
      <c r="J169" s="10" t="s">
        <v>24</v>
      </c>
      <c r="K169" s="12" t="s">
        <v>25</v>
      </c>
      <c r="L169" s="54">
        <f t="shared" si="53"/>
        <v>0</v>
      </c>
    </row>
    <row r="170" spans="1:12" hidden="1" x14ac:dyDescent="0.2">
      <c r="A170" s="9" t="s">
        <v>263</v>
      </c>
      <c r="B170" s="10" t="s">
        <v>264</v>
      </c>
      <c r="C170" s="10" t="e">
        <f>Data_BI!#REF!</f>
        <v>#REF!</v>
      </c>
      <c r="D170" s="10" t="s">
        <v>30</v>
      </c>
      <c r="E170" s="6" t="s">
        <v>621</v>
      </c>
      <c r="F170" s="10" t="s">
        <v>267</v>
      </c>
      <c r="G170" s="48">
        <v>18060.12</v>
      </c>
      <c r="H170" s="36">
        <v>45658</v>
      </c>
      <c r="I170" s="11" t="s">
        <v>268</v>
      </c>
      <c r="J170" s="10" t="s">
        <v>24</v>
      </c>
      <c r="K170" s="8" t="s">
        <v>266</v>
      </c>
      <c r="L170" s="54">
        <f t="shared" si="53"/>
        <v>0</v>
      </c>
    </row>
    <row r="171" spans="1:12" hidden="1" x14ac:dyDescent="0.2">
      <c r="A171" s="9" t="s">
        <v>81</v>
      </c>
      <c r="B171" s="10" t="s">
        <v>82</v>
      </c>
      <c r="C171" s="10" t="s">
        <v>111</v>
      </c>
      <c r="D171" s="10" t="s">
        <v>30</v>
      </c>
      <c r="E171" s="6" t="s">
        <v>621</v>
      </c>
      <c r="F171" s="10" t="s">
        <v>113</v>
      </c>
      <c r="G171" s="48">
        <v>17751.75</v>
      </c>
      <c r="H171" s="36">
        <v>45658</v>
      </c>
      <c r="I171" s="11"/>
      <c r="J171" s="10" t="s">
        <v>24</v>
      </c>
      <c r="K171" s="12" t="s">
        <v>25</v>
      </c>
      <c r="L171" s="54">
        <f t="shared" ref="L171:L172" si="54">(ISNUMBER(G171))-1</f>
        <v>0</v>
      </c>
    </row>
    <row r="172" spans="1:12" hidden="1" x14ac:dyDescent="0.2">
      <c r="A172" s="5" t="s">
        <v>81</v>
      </c>
      <c r="B172" s="6" t="s">
        <v>82</v>
      </c>
      <c r="C172" s="6" t="s">
        <v>83</v>
      </c>
      <c r="D172" s="6" t="s">
        <v>622</v>
      </c>
      <c r="E172" s="6" t="s">
        <v>621</v>
      </c>
      <c r="F172" s="6" t="s">
        <v>90</v>
      </c>
      <c r="G172" s="49">
        <v>17218.21</v>
      </c>
      <c r="H172" s="35">
        <v>45658</v>
      </c>
      <c r="I172" s="7"/>
      <c r="J172" s="6" t="s">
        <v>24</v>
      </c>
      <c r="K172" s="8" t="s">
        <v>25</v>
      </c>
      <c r="L172" s="54">
        <f t="shared" si="54"/>
        <v>0</v>
      </c>
    </row>
    <row r="173" spans="1:12" hidden="1" x14ac:dyDescent="0.2">
      <c r="A173" s="5" t="s">
        <v>81</v>
      </c>
      <c r="B173" s="6" t="s">
        <v>82</v>
      </c>
      <c r="C173" s="6" t="s">
        <v>115</v>
      </c>
      <c r="D173" s="6" t="s">
        <v>30</v>
      </c>
      <c r="E173" s="6" t="s">
        <v>621</v>
      </c>
      <c r="F173" s="6" t="s">
        <v>129</v>
      </c>
      <c r="G173" s="49">
        <v>15629.39</v>
      </c>
      <c r="H173" s="35">
        <v>45658</v>
      </c>
      <c r="I173" s="7"/>
      <c r="J173" s="6" t="s">
        <v>24</v>
      </c>
      <c r="K173" s="8" t="s">
        <v>25</v>
      </c>
      <c r="L173" s="54">
        <f t="shared" ref="L173:L174" si="55">(ISNUMBER(G173))-1</f>
        <v>0</v>
      </c>
    </row>
    <row r="174" spans="1:12" hidden="1" x14ac:dyDescent="0.2">
      <c r="A174" s="5" t="s">
        <v>201</v>
      </c>
      <c r="B174" s="6" t="s">
        <v>202</v>
      </c>
      <c r="C174" s="6" t="s">
        <v>203</v>
      </c>
      <c r="D174" s="6" t="s">
        <v>622</v>
      </c>
      <c r="E174" s="6" t="s">
        <v>208</v>
      </c>
      <c r="F174" s="6"/>
      <c r="G174" s="49">
        <v>15609.76</v>
      </c>
      <c r="H174" s="35">
        <v>45658</v>
      </c>
      <c r="I174" s="7"/>
      <c r="J174" s="6" t="s">
        <v>24</v>
      </c>
      <c r="K174" s="8" t="s">
        <v>25</v>
      </c>
      <c r="L174" s="54">
        <f t="shared" si="55"/>
        <v>0</v>
      </c>
    </row>
    <row r="175" spans="1:12" hidden="1" x14ac:dyDescent="0.2">
      <c r="A175" s="5" t="s">
        <v>252</v>
      </c>
      <c r="B175" s="6" t="s">
        <v>253</v>
      </c>
      <c r="C175" s="6" t="e">
        <f>Data_BI!#REF!</f>
        <v>#REF!</v>
      </c>
      <c r="D175" s="6" t="s">
        <v>622</v>
      </c>
      <c r="E175" s="6" t="s">
        <v>621</v>
      </c>
      <c r="F175" s="6" t="s">
        <v>259</v>
      </c>
      <c r="G175" s="49">
        <v>13707.66</v>
      </c>
      <c r="H175" s="35">
        <v>45658</v>
      </c>
      <c r="I175" s="7"/>
      <c r="J175" s="6" t="s">
        <v>24</v>
      </c>
      <c r="K175" s="8" t="s">
        <v>25</v>
      </c>
      <c r="L175" s="54">
        <f t="shared" ref="L175:L177" si="56">(ISNUMBER(G175))-1</f>
        <v>0</v>
      </c>
    </row>
    <row r="176" spans="1:12" hidden="1" x14ac:dyDescent="0.2">
      <c r="A176" s="5" t="s">
        <v>263</v>
      </c>
      <c r="B176" s="6" t="s">
        <v>264</v>
      </c>
      <c r="C176" s="6" t="e">
        <f>Data_BI!#REF!</f>
        <v>#REF!</v>
      </c>
      <c r="D176" s="6" t="s">
        <v>622</v>
      </c>
      <c r="E176" s="6" t="s">
        <v>621</v>
      </c>
      <c r="F176" s="6" t="s">
        <v>277</v>
      </c>
      <c r="G176" s="49">
        <v>13403.44</v>
      </c>
      <c r="H176" s="35">
        <v>45658</v>
      </c>
      <c r="I176" s="7"/>
      <c r="J176" s="6" t="s">
        <v>24</v>
      </c>
      <c r="K176" s="8" t="s">
        <v>266</v>
      </c>
      <c r="L176" s="54">
        <f t="shared" si="56"/>
        <v>0</v>
      </c>
    </row>
    <row r="177" spans="1:12" hidden="1" x14ac:dyDescent="0.2">
      <c r="A177" s="9" t="s">
        <v>81</v>
      </c>
      <c r="B177" s="10" t="s">
        <v>82</v>
      </c>
      <c r="C177" s="10" t="s">
        <v>115</v>
      </c>
      <c r="D177" s="6" t="s">
        <v>622</v>
      </c>
      <c r="E177" s="6" t="s">
        <v>621</v>
      </c>
      <c r="F177" s="10" t="s">
        <v>128</v>
      </c>
      <c r="G177" s="48">
        <v>13340.66</v>
      </c>
      <c r="H177" s="36">
        <v>45658</v>
      </c>
      <c r="I177" s="11"/>
      <c r="J177" s="10" t="s">
        <v>24</v>
      </c>
      <c r="K177" s="12" t="s">
        <v>25</v>
      </c>
      <c r="L177" s="54">
        <f t="shared" si="56"/>
        <v>0</v>
      </c>
    </row>
    <row r="178" spans="1:12" hidden="1" x14ac:dyDescent="0.2">
      <c r="A178" s="9" t="s">
        <v>252</v>
      </c>
      <c r="B178" s="10" t="s">
        <v>253</v>
      </c>
      <c r="C178" s="10" t="e">
        <f>Data_BI!#REF!</f>
        <v>#REF!</v>
      </c>
      <c r="D178" s="10" t="s">
        <v>30</v>
      </c>
      <c r="E178" s="6" t="s">
        <v>621</v>
      </c>
      <c r="F178" s="10" t="s">
        <v>258</v>
      </c>
      <c r="G178" s="48">
        <v>11900.45</v>
      </c>
      <c r="H178" s="36">
        <v>45658</v>
      </c>
      <c r="I178" s="11"/>
      <c r="J178" s="10" t="s">
        <v>24</v>
      </c>
      <c r="K178" s="12" t="s">
        <v>25</v>
      </c>
      <c r="L178" s="54">
        <f t="shared" ref="L178" si="57">(ISNUMBER(G178))-1</f>
        <v>0</v>
      </c>
    </row>
    <row r="179" spans="1:12" hidden="1" x14ac:dyDescent="0.2">
      <c r="A179" s="9" t="s">
        <v>263</v>
      </c>
      <c r="B179" s="10" t="s">
        <v>264</v>
      </c>
      <c r="C179" s="10" t="e">
        <f>Data_BI!#REF!</f>
        <v>#REF!</v>
      </c>
      <c r="D179" s="10" t="s">
        <v>30</v>
      </c>
      <c r="E179" s="6" t="s">
        <v>621</v>
      </c>
      <c r="F179" s="10" t="s">
        <v>276</v>
      </c>
      <c r="G179" s="48">
        <v>11180.43</v>
      </c>
      <c r="H179" s="36">
        <v>45658</v>
      </c>
      <c r="I179" s="11"/>
      <c r="J179" s="10" t="s">
        <v>24</v>
      </c>
      <c r="K179" s="8" t="s">
        <v>266</v>
      </c>
      <c r="L179" s="54">
        <f t="shared" ref="L179:L180" si="58">(ISNUMBER(G179))-1</f>
        <v>0</v>
      </c>
    </row>
    <row r="180" spans="1:12" hidden="1" x14ac:dyDescent="0.2">
      <c r="A180" s="5" t="s">
        <v>263</v>
      </c>
      <c r="B180" s="6" t="s">
        <v>264</v>
      </c>
      <c r="C180" s="6" t="str">
        <f>Data_BI!$B8</f>
        <v>Восстановление резервов</v>
      </c>
      <c r="D180" s="6" t="s">
        <v>30</v>
      </c>
      <c r="E180" s="6" t="s">
        <v>621</v>
      </c>
      <c r="F180" s="6" t="s">
        <v>275</v>
      </c>
      <c r="G180" s="49">
        <v>10647.47</v>
      </c>
      <c r="H180" s="35">
        <v>45658</v>
      </c>
      <c r="I180" s="7"/>
      <c r="J180" s="6" t="s">
        <v>24</v>
      </c>
      <c r="K180" s="8" t="s">
        <v>266</v>
      </c>
      <c r="L180" s="54">
        <f t="shared" si="58"/>
        <v>0</v>
      </c>
    </row>
    <row r="181" spans="1:12" hidden="1" x14ac:dyDescent="0.2">
      <c r="A181" s="5" t="s">
        <v>81</v>
      </c>
      <c r="B181" s="6" t="s">
        <v>82</v>
      </c>
      <c r="C181" s="6" t="s">
        <v>148</v>
      </c>
      <c r="D181" s="6" t="s">
        <v>38</v>
      </c>
      <c r="E181" s="6" t="s">
        <v>621</v>
      </c>
      <c r="F181" s="6" t="s">
        <v>152</v>
      </c>
      <c r="G181" s="49">
        <v>10268.43</v>
      </c>
      <c r="H181" s="35">
        <v>45658</v>
      </c>
      <c r="I181" s="7"/>
      <c r="J181" s="6" t="s">
        <v>24</v>
      </c>
      <c r="K181" s="8" t="s">
        <v>25</v>
      </c>
      <c r="L181" s="54">
        <f t="shared" ref="L181:L182" si="59">(ISNUMBER(G181))-1</f>
        <v>0</v>
      </c>
    </row>
    <row r="182" spans="1:12" hidden="1" x14ac:dyDescent="0.2">
      <c r="A182" s="9" t="s">
        <v>263</v>
      </c>
      <c r="B182" s="10" t="s">
        <v>264</v>
      </c>
      <c r="C182" s="10" t="e">
        <f>Data_BI!#REF!</f>
        <v>#REF!</v>
      </c>
      <c r="D182" s="6" t="s">
        <v>622</v>
      </c>
      <c r="E182" s="6" t="s">
        <v>621</v>
      </c>
      <c r="F182" s="10" t="s">
        <v>274</v>
      </c>
      <c r="G182" s="48">
        <v>9391.6299999999992</v>
      </c>
      <c r="H182" s="36">
        <v>45658</v>
      </c>
      <c r="I182" s="11"/>
      <c r="J182" s="10" t="s">
        <v>24</v>
      </c>
      <c r="K182" s="8" t="s">
        <v>266</v>
      </c>
      <c r="L182" s="54">
        <f t="shared" si="59"/>
        <v>0</v>
      </c>
    </row>
    <row r="183" spans="1:12" hidden="1" x14ac:dyDescent="0.2">
      <c r="A183" s="9" t="s">
        <v>81</v>
      </c>
      <c r="B183" s="10" t="s">
        <v>82</v>
      </c>
      <c r="C183" s="10" t="s">
        <v>83</v>
      </c>
      <c r="D183" s="6" t="s">
        <v>622</v>
      </c>
      <c r="E183" s="6" t="s">
        <v>621</v>
      </c>
      <c r="F183" s="10" t="s">
        <v>89</v>
      </c>
      <c r="G183" s="48">
        <v>8309.2000000000007</v>
      </c>
      <c r="H183" s="36">
        <v>45658</v>
      </c>
      <c r="I183" s="11"/>
      <c r="J183" s="10" t="s">
        <v>24</v>
      </c>
      <c r="K183" s="12" t="s">
        <v>25</v>
      </c>
      <c r="L183" s="54">
        <f t="shared" ref="L183" si="60">(ISNUMBER(G183))-1</f>
        <v>0</v>
      </c>
    </row>
    <row r="184" spans="1:12" hidden="1" x14ac:dyDescent="0.2">
      <c r="A184" s="5" t="s">
        <v>81</v>
      </c>
      <c r="B184" s="6" t="s">
        <v>82</v>
      </c>
      <c r="C184" s="6" t="s">
        <v>115</v>
      </c>
      <c r="D184" s="6" t="s">
        <v>622</v>
      </c>
      <c r="E184" s="6" t="s">
        <v>621</v>
      </c>
      <c r="F184" s="6" t="s">
        <v>127</v>
      </c>
      <c r="G184" s="49">
        <v>7720.27</v>
      </c>
      <c r="H184" s="35">
        <v>45658</v>
      </c>
      <c r="I184" s="7"/>
      <c r="J184" s="6" t="s">
        <v>24</v>
      </c>
      <c r="K184" s="8" t="s">
        <v>25</v>
      </c>
      <c r="L184" s="54">
        <f t="shared" ref="L184:L187" si="61">(ISNUMBER(G184))-1</f>
        <v>0</v>
      </c>
    </row>
    <row r="185" spans="1:12" hidden="1" x14ac:dyDescent="0.2">
      <c r="A185" s="9" t="s">
        <v>81</v>
      </c>
      <c r="B185" s="10" t="s">
        <v>82</v>
      </c>
      <c r="C185" s="10" t="s">
        <v>115</v>
      </c>
      <c r="D185" s="6" t="s">
        <v>622</v>
      </c>
      <c r="E185" s="6" t="s">
        <v>621</v>
      </c>
      <c r="F185" s="10" t="s">
        <v>126</v>
      </c>
      <c r="G185" s="48">
        <v>7617.07</v>
      </c>
      <c r="H185" s="36">
        <v>45658</v>
      </c>
      <c r="I185" s="11"/>
      <c r="J185" s="10" t="s">
        <v>24</v>
      </c>
      <c r="K185" s="12" t="s">
        <v>25</v>
      </c>
      <c r="L185" s="54">
        <f t="shared" si="61"/>
        <v>0</v>
      </c>
    </row>
    <row r="186" spans="1:12" hidden="1" x14ac:dyDescent="0.2">
      <c r="A186" s="5" t="s">
        <v>81</v>
      </c>
      <c r="B186" s="6" t="s">
        <v>82</v>
      </c>
      <c r="C186" s="6" t="s">
        <v>83</v>
      </c>
      <c r="D186" s="6" t="s">
        <v>622</v>
      </c>
      <c r="E186" s="6" t="s">
        <v>621</v>
      </c>
      <c r="F186" s="6" t="s">
        <v>88</v>
      </c>
      <c r="G186" s="49">
        <v>7500</v>
      </c>
      <c r="H186" s="35">
        <v>45658</v>
      </c>
      <c r="I186" s="7"/>
      <c r="J186" s="6" t="s">
        <v>24</v>
      </c>
      <c r="K186" s="8" t="s">
        <v>25</v>
      </c>
      <c r="L186" s="54">
        <f t="shared" si="61"/>
        <v>0</v>
      </c>
    </row>
    <row r="187" spans="1:12" hidden="1" x14ac:dyDescent="0.2">
      <c r="A187" s="9" t="s">
        <v>81</v>
      </c>
      <c r="B187" s="10" t="s">
        <v>82</v>
      </c>
      <c r="C187" s="10" t="s">
        <v>148</v>
      </c>
      <c r="D187" s="10" t="s">
        <v>38</v>
      </c>
      <c r="E187" s="6" t="s">
        <v>621</v>
      </c>
      <c r="F187" s="10" t="s">
        <v>151</v>
      </c>
      <c r="G187" s="48">
        <v>7066.68</v>
      </c>
      <c r="H187" s="36">
        <v>45658</v>
      </c>
      <c r="I187" s="11"/>
      <c r="J187" s="10" t="s">
        <v>24</v>
      </c>
      <c r="K187" s="12" t="s">
        <v>25</v>
      </c>
      <c r="L187" s="54">
        <f t="shared" si="61"/>
        <v>0</v>
      </c>
    </row>
    <row r="188" spans="1:12" hidden="1" x14ac:dyDescent="0.2">
      <c r="A188" s="5" t="s">
        <v>81</v>
      </c>
      <c r="B188" s="6" t="s">
        <v>82</v>
      </c>
      <c r="C188" s="6" t="s">
        <v>115</v>
      </c>
      <c r="D188" s="6" t="s">
        <v>30</v>
      </c>
      <c r="E188" s="6" t="s">
        <v>621</v>
      </c>
      <c r="F188" s="6" t="s">
        <v>125</v>
      </c>
      <c r="G188" s="49">
        <v>6809.38</v>
      </c>
      <c r="H188" s="35">
        <v>45658</v>
      </c>
      <c r="I188" s="7"/>
      <c r="J188" s="6" t="s">
        <v>24</v>
      </c>
      <c r="K188" s="8" t="s">
        <v>25</v>
      </c>
      <c r="L188" s="54">
        <f t="shared" ref="L188:L190" si="62">(ISNUMBER(G188))-1</f>
        <v>0</v>
      </c>
    </row>
    <row r="189" spans="1:12" hidden="1" x14ac:dyDescent="0.2">
      <c r="A189" s="5" t="s">
        <v>81</v>
      </c>
      <c r="B189" s="6" t="s">
        <v>82</v>
      </c>
      <c r="C189" s="6" t="s">
        <v>148</v>
      </c>
      <c r="D189" s="6" t="s">
        <v>38</v>
      </c>
      <c r="E189" s="6" t="s">
        <v>621</v>
      </c>
      <c r="F189" s="6" t="s">
        <v>150</v>
      </c>
      <c r="G189" s="49">
        <v>6754.71</v>
      </c>
      <c r="H189" s="35">
        <v>45658</v>
      </c>
      <c r="I189" s="7"/>
      <c r="J189" s="6" t="s">
        <v>24</v>
      </c>
      <c r="K189" s="8" t="s">
        <v>25</v>
      </c>
      <c r="L189" s="54">
        <f t="shared" si="62"/>
        <v>0</v>
      </c>
    </row>
    <row r="190" spans="1:12" hidden="1" x14ac:dyDescent="0.2">
      <c r="A190" s="5" t="s">
        <v>201</v>
      </c>
      <c r="B190" s="6" t="s">
        <v>214</v>
      </c>
      <c r="C190" s="6" t="s">
        <v>215</v>
      </c>
      <c r="D190" s="6" t="s">
        <v>622</v>
      </c>
      <c r="E190" s="6" t="s">
        <v>212</v>
      </c>
      <c r="F190" s="6"/>
      <c r="G190" s="49">
        <v>6381.33</v>
      </c>
      <c r="H190" s="35">
        <v>45658</v>
      </c>
      <c r="I190" s="7"/>
      <c r="J190" s="6" t="s">
        <v>24</v>
      </c>
      <c r="K190" s="8" t="s">
        <v>25</v>
      </c>
      <c r="L190" s="54">
        <f t="shared" si="62"/>
        <v>0</v>
      </c>
    </row>
    <row r="191" spans="1:12" hidden="1" x14ac:dyDescent="0.2">
      <c r="A191" s="9" t="s">
        <v>81</v>
      </c>
      <c r="B191" s="10" t="s">
        <v>82</v>
      </c>
      <c r="C191" s="10" t="s">
        <v>115</v>
      </c>
      <c r="D191" s="10" t="s">
        <v>30</v>
      </c>
      <c r="E191" s="6" t="s">
        <v>621</v>
      </c>
      <c r="F191" s="10" t="s">
        <v>124</v>
      </c>
      <c r="G191" s="48">
        <v>5572.07</v>
      </c>
      <c r="H191" s="36">
        <v>45658</v>
      </c>
      <c r="I191" s="11"/>
      <c r="J191" s="10" t="s">
        <v>24</v>
      </c>
      <c r="K191" s="12" t="s">
        <v>25</v>
      </c>
      <c r="L191" s="54">
        <f t="shared" ref="L191" si="63">(ISNUMBER(G191))-1</f>
        <v>0</v>
      </c>
    </row>
    <row r="192" spans="1:12" hidden="1" x14ac:dyDescent="0.2">
      <c r="A192" s="5" t="s">
        <v>15</v>
      </c>
      <c r="B192" s="6" t="s">
        <v>16</v>
      </c>
      <c r="C192" s="6" t="s">
        <v>46</v>
      </c>
      <c r="D192" s="6" t="s">
        <v>622</v>
      </c>
      <c r="E192" s="6" t="s">
        <v>621</v>
      </c>
      <c r="F192" s="6" t="s">
        <v>47</v>
      </c>
      <c r="G192" s="49">
        <v>5070.1499999999996</v>
      </c>
      <c r="H192" s="35">
        <v>45658</v>
      </c>
      <c r="I192" s="7"/>
      <c r="J192" s="6" t="s">
        <v>24</v>
      </c>
      <c r="K192" s="8" t="s">
        <v>25</v>
      </c>
      <c r="L192" s="54">
        <f t="shared" ref="L192" si="64">(ISNUMBER(G192))-1</f>
        <v>0</v>
      </c>
    </row>
    <row r="193" spans="1:12" hidden="1" x14ac:dyDescent="0.2">
      <c r="A193" s="9" t="s">
        <v>81</v>
      </c>
      <c r="B193" s="10" t="s">
        <v>82</v>
      </c>
      <c r="C193" s="10" t="s">
        <v>94</v>
      </c>
      <c r="D193" s="6" t="s">
        <v>622</v>
      </c>
      <c r="E193" s="6" t="s">
        <v>621</v>
      </c>
      <c r="F193" s="10" t="s">
        <v>95</v>
      </c>
      <c r="G193" s="48">
        <v>4420.59</v>
      </c>
      <c r="H193" s="36">
        <v>45658</v>
      </c>
      <c r="I193" s="11"/>
      <c r="J193" s="10" t="s">
        <v>24</v>
      </c>
      <c r="K193" s="12" t="s">
        <v>25</v>
      </c>
      <c r="L193" s="54">
        <f t="shared" ref="L193:L194" si="65">(ISNUMBER(G193))-1</f>
        <v>0</v>
      </c>
    </row>
    <row r="194" spans="1:12" hidden="1" x14ac:dyDescent="0.2">
      <c r="A194" s="5" t="s">
        <v>81</v>
      </c>
      <c r="B194" s="6" t="s">
        <v>82</v>
      </c>
      <c r="C194" s="6" t="s">
        <v>115</v>
      </c>
      <c r="D194" s="6" t="s">
        <v>30</v>
      </c>
      <c r="E194" s="6" t="s">
        <v>621</v>
      </c>
      <c r="F194" s="6" t="s">
        <v>123</v>
      </c>
      <c r="G194" s="49">
        <v>4383.0600000000004</v>
      </c>
      <c r="H194" s="35">
        <v>45658</v>
      </c>
      <c r="I194" s="7"/>
      <c r="J194" s="6" t="s">
        <v>24</v>
      </c>
      <c r="K194" s="8" t="s">
        <v>25</v>
      </c>
      <c r="L194" s="54">
        <f t="shared" si="65"/>
        <v>0</v>
      </c>
    </row>
    <row r="195" spans="1:12" hidden="1" x14ac:dyDescent="0.2">
      <c r="A195" s="9" t="s">
        <v>81</v>
      </c>
      <c r="B195" s="10" t="s">
        <v>82</v>
      </c>
      <c r="C195" s="10" t="s">
        <v>83</v>
      </c>
      <c r="D195" s="6" t="s">
        <v>622</v>
      </c>
      <c r="E195" s="6" t="s">
        <v>621</v>
      </c>
      <c r="F195" s="10" t="s">
        <v>87</v>
      </c>
      <c r="G195" s="48">
        <v>3833.96</v>
      </c>
      <c r="H195" s="36">
        <v>45658</v>
      </c>
      <c r="I195" s="11"/>
      <c r="J195" s="10" t="s">
        <v>24</v>
      </c>
      <c r="K195" s="12" t="s">
        <v>25</v>
      </c>
      <c r="L195" s="54">
        <f t="shared" ref="L195" si="66">(ISNUMBER(G195))-1</f>
        <v>0</v>
      </c>
    </row>
    <row r="196" spans="1:12" hidden="1" x14ac:dyDescent="0.2">
      <c r="A196" s="5" t="s">
        <v>252</v>
      </c>
      <c r="B196" s="6" t="s">
        <v>253</v>
      </c>
      <c r="C196" s="6" t="e">
        <f>Data_BI!#REF!</f>
        <v>#REF!</v>
      </c>
      <c r="D196" s="6" t="s">
        <v>622</v>
      </c>
      <c r="E196" s="6" t="s">
        <v>621</v>
      </c>
      <c r="F196" s="6" t="s">
        <v>257</v>
      </c>
      <c r="G196" s="49">
        <v>3558.9</v>
      </c>
      <c r="H196" s="35">
        <v>45658</v>
      </c>
      <c r="I196" s="7"/>
      <c r="J196" s="6" t="s">
        <v>24</v>
      </c>
      <c r="K196" s="8" t="s">
        <v>25</v>
      </c>
      <c r="L196" s="54">
        <f t="shared" ref="L196" si="67">(ISNUMBER(G196))-1</f>
        <v>0</v>
      </c>
    </row>
    <row r="197" spans="1:12" hidden="1" x14ac:dyDescent="0.2">
      <c r="A197" s="9" t="s">
        <v>81</v>
      </c>
      <c r="B197" s="10" t="s">
        <v>82</v>
      </c>
      <c r="C197" s="10" t="s">
        <v>115</v>
      </c>
      <c r="D197" s="6" t="s">
        <v>622</v>
      </c>
      <c r="E197" s="6" t="s">
        <v>621</v>
      </c>
      <c r="F197" s="10" t="s">
        <v>122</v>
      </c>
      <c r="G197" s="48">
        <v>3367.64</v>
      </c>
      <c r="H197" s="36">
        <v>45658</v>
      </c>
      <c r="I197" s="11"/>
      <c r="J197" s="10" t="s">
        <v>24</v>
      </c>
      <c r="K197" s="12" t="s">
        <v>25</v>
      </c>
      <c r="L197" s="54">
        <f t="shared" ref="L197" si="68">(ISNUMBER(G197))-1</f>
        <v>0</v>
      </c>
    </row>
    <row r="198" spans="1:12" hidden="1" x14ac:dyDescent="0.2">
      <c r="A198" s="5" t="s">
        <v>81</v>
      </c>
      <c r="B198" s="6" t="s">
        <v>82</v>
      </c>
      <c r="C198" s="6" t="s">
        <v>83</v>
      </c>
      <c r="D198" s="6" t="s">
        <v>622</v>
      </c>
      <c r="E198" s="6" t="s">
        <v>621</v>
      </c>
      <c r="F198" s="6" t="s">
        <v>86</v>
      </c>
      <c r="G198" s="49">
        <v>3000</v>
      </c>
      <c r="H198" s="35">
        <v>45658</v>
      </c>
      <c r="I198" s="7"/>
      <c r="J198" s="6" t="s">
        <v>24</v>
      </c>
      <c r="K198" s="8" t="s">
        <v>25</v>
      </c>
      <c r="L198" s="54">
        <f t="shared" ref="L198:L199" si="69">(ISNUMBER(G198))-1</f>
        <v>0</v>
      </c>
    </row>
    <row r="199" spans="1:12" hidden="1" x14ac:dyDescent="0.2">
      <c r="A199" s="5" t="s">
        <v>263</v>
      </c>
      <c r="B199" s="6" t="s">
        <v>264</v>
      </c>
      <c r="C199" s="6" t="e">
        <f>Data_BI!#REF!</f>
        <v>#REF!</v>
      </c>
      <c r="D199" s="6" t="s">
        <v>622</v>
      </c>
      <c r="E199" s="6" t="s">
        <v>621</v>
      </c>
      <c r="F199" s="6" t="s">
        <v>273</v>
      </c>
      <c r="G199" s="49">
        <v>2763.51</v>
      </c>
      <c r="H199" s="35">
        <v>45658</v>
      </c>
      <c r="I199" s="7"/>
      <c r="J199" s="6" t="s">
        <v>24</v>
      </c>
      <c r="K199" s="8" t="s">
        <v>266</v>
      </c>
      <c r="L199" s="54">
        <f t="shared" si="69"/>
        <v>0</v>
      </c>
    </row>
    <row r="200" spans="1:12" hidden="1" x14ac:dyDescent="0.2">
      <c r="A200" s="9" t="s">
        <v>15</v>
      </c>
      <c r="B200" s="10" t="s">
        <v>16</v>
      </c>
      <c r="C200" s="10" t="s">
        <v>29</v>
      </c>
      <c r="D200" s="10" t="s">
        <v>30</v>
      </c>
      <c r="E200" s="6" t="s">
        <v>621</v>
      </c>
      <c r="F200" s="10" t="s">
        <v>31</v>
      </c>
      <c r="G200" s="48">
        <v>2630.29</v>
      </c>
      <c r="H200" s="36">
        <v>45658</v>
      </c>
      <c r="I200" s="11"/>
      <c r="J200" s="10" t="s">
        <v>24</v>
      </c>
      <c r="K200" s="12" t="s">
        <v>25</v>
      </c>
      <c r="L200" s="54">
        <f t="shared" ref="L200" si="70">(ISNUMBER(G200))-1</f>
        <v>0</v>
      </c>
    </row>
    <row r="201" spans="1:12" hidden="1" x14ac:dyDescent="0.2">
      <c r="A201" s="9" t="s">
        <v>81</v>
      </c>
      <c r="B201" s="10" t="s">
        <v>82</v>
      </c>
      <c r="C201" s="10" t="s">
        <v>83</v>
      </c>
      <c r="D201" s="6" t="s">
        <v>622</v>
      </c>
      <c r="E201" s="6" t="s">
        <v>621</v>
      </c>
      <c r="F201" s="10" t="s">
        <v>85</v>
      </c>
      <c r="G201" s="48">
        <v>2375</v>
      </c>
      <c r="H201" s="36">
        <v>45658</v>
      </c>
      <c r="I201" s="11"/>
      <c r="J201" s="10" t="s">
        <v>24</v>
      </c>
      <c r="K201" s="12" t="s">
        <v>25</v>
      </c>
      <c r="L201" s="54">
        <f t="shared" ref="L201" si="71">(ISNUMBER(G201))-1</f>
        <v>0</v>
      </c>
    </row>
    <row r="202" spans="1:12" hidden="1" x14ac:dyDescent="0.2">
      <c r="A202" s="5" t="s">
        <v>81</v>
      </c>
      <c r="B202" s="6" t="s">
        <v>82</v>
      </c>
      <c r="C202" s="6" t="s">
        <v>115</v>
      </c>
      <c r="D202" s="6" t="s">
        <v>622</v>
      </c>
      <c r="E202" s="6" t="s">
        <v>621</v>
      </c>
      <c r="F202" s="14" t="s">
        <v>121</v>
      </c>
      <c r="G202" s="49">
        <v>1990</v>
      </c>
      <c r="H202" s="35">
        <v>45658</v>
      </c>
      <c r="I202" s="7"/>
      <c r="J202" s="6" t="s">
        <v>24</v>
      </c>
      <c r="K202" s="8" t="s">
        <v>25</v>
      </c>
      <c r="L202" s="54">
        <f t="shared" ref="L202" si="72">(ISNUMBER(G202))-1</f>
        <v>0</v>
      </c>
    </row>
    <row r="203" spans="1:12" hidden="1" x14ac:dyDescent="0.2">
      <c r="A203" s="9" t="s">
        <v>81</v>
      </c>
      <c r="B203" s="10" t="s">
        <v>82</v>
      </c>
      <c r="C203" s="10" t="s">
        <v>115</v>
      </c>
      <c r="D203" s="6" t="s">
        <v>622</v>
      </c>
      <c r="E203" s="6" t="s">
        <v>621</v>
      </c>
      <c r="F203" s="10" t="s">
        <v>120</v>
      </c>
      <c r="G203" s="48">
        <v>1724.77</v>
      </c>
      <c r="H203" s="36">
        <v>45658</v>
      </c>
      <c r="I203" s="11"/>
      <c r="J203" s="10" t="s">
        <v>24</v>
      </c>
      <c r="K203" s="12" t="s">
        <v>25</v>
      </c>
      <c r="L203" s="54">
        <f t="shared" ref="L203" si="73">(ISNUMBER(G203))-1</f>
        <v>0</v>
      </c>
    </row>
    <row r="204" spans="1:12" hidden="1" x14ac:dyDescent="0.2">
      <c r="A204" s="5" t="s">
        <v>81</v>
      </c>
      <c r="B204" s="6" t="s">
        <v>82</v>
      </c>
      <c r="C204" s="6" t="s">
        <v>115</v>
      </c>
      <c r="D204" s="6" t="s">
        <v>30</v>
      </c>
      <c r="E204" s="6" t="s">
        <v>621</v>
      </c>
      <c r="F204" s="6" t="s">
        <v>119</v>
      </c>
      <c r="G204" s="49">
        <v>1500</v>
      </c>
      <c r="H204" s="35">
        <v>45658</v>
      </c>
      <c r="I204" s="7"/>
      <c r="J204" s="6" t="s">
        <v>24</v>
      </c>
      <c r="K204" s="8" t="s">
        <v>25</v>
      </c>
      <c r="L204" s="54">
        <f t="shared" ref="L204:L206" si="74">(ISNUMBER(G204))-1</f>
        <v>0</v>
      </c>
    </row>
    <row r="205" spans="1:12" hidden="1" x14ac:dyDescent="0.2">
      <c r="A205" s="9" t="s">
        <v>81</v>
      </c>
      <c r="B205" s="10" t="s">
        <v>82</v>
      </c>
      <c r="C205" s="10" t="s">
        <v>115</v>
      </c>
      <c r="D205" s="10" t="s">
        <v>30</v>
      </c>
      <c r="E205" s="6" t="s">
        <v>621</v>
      </c>
      <c r="F205" s="10" t="s">
        <v>118</v>
      </c>
      <c r="G205" s="48">
        <v>1497</v>
      </c>
      <c r="H205" s="36">
        <v>45658</v>
      </c>
      <c r="I205" s="11"/>
      <c r="J205" s="10" t="s">
        <v>24</v>
      </c>
      <c r="K205" s="12" t="s">
        <v>25</v>
      </c>
      <c r="L205" s="54">
        <f t="shared" si="74"/>
        <v>0</v>
      </c>
    </row>
    <row r="206" spans="1:12" hidden="1" x14ac:dyDescent="0.2">
      <c r="A206" s="5" t="s">
        <v>81</v>
      </c>
      <c r="B206" s="6" t="s">
        <v>82</v>
      </c>
      <c r="C206" s="6" t="s">
        <v>115</v>
      </c>
      <c r="D206" s="6" t="s">
        <v>30</v>
      </c>
      <c r="E206" s="6" t="s">
        <v>621</v>
      </c>
      <c r="F206" s="6" t="s">
        <v>117</v>
      </c>
      <c r="G206" s="49">
        <v>1485.2</v>
      </c>
      <c r="H206" s="35">
        <v>45658</v>
      </c>
      <c r="I206" s="7"/>
      <c r="J206" s="6" t="s">
        <v>24</v>
      </c>
      <c r="K206" s="8" t="s">
        <v>25</v>
      </c>
      <c r="L206" s="54">
        <f t="shared" si="74"/>
        <v>0</v>
      </c>
    </row>
    <row r="207" spans="1:12" hidden="1" x14ac:dyDescent="0.2">
      <c r="A207" s="5" t="s">
        <v>81</v>
      </c>
      <c r="B207" s="6" t="s">
        <v>82</v>
      </c>
      <c r="C207" s="6" t="s">
        <v>111</v>
      </c>
      <c r="D207" s="6" t="s">
        <v>622</v>
      </c>
      <c r="E207" s="6" t="s">
        <v>621</v>
      </c>
      <c r="F207" s="6" t="s">
        <v>112</v>
      </c>
      <c r="G207" s="49">
        <v>663.6</v>
      </c>
      <c r="H207" s="35">
        <v>45658</v>
      </c>
      <c r="I207" s="7"/>
      <c r="J207" s="6" t="s">
        <v>24</v>
      </c>
      <c r="K207" s="8" t="s">
        <v>25</v>
      </c>
      <c r="L207" s="54">
        <f t="shared" ref="L207" si="75">(ISNUMBER(G207))-1</f>
        <v>0</v>
      </c>
    </row>
    <row r="208" spans="1:12" hidden="1" x14ac:dyDescent="0.2">
      <c r="A208" s="9" t="s">
        <v>252</v>
      </c>
      <c r="B208" s="10" t="s">
        <v>253</v>
      </c>
      <c r="C208" s="10" t="e">
        <f>Data_BI!#REF!</f>
        <v>#REF!</v>
      </c>
      <c r="D208" s="6" t="s">
        <v>622</v>
      </c>
      <c r="E208" s="6" t="s">
        <v>621</v>
      </c>
      <c r="F208" s="10" t="s">
        <v>256</v>
      </c>
      <c r="G208" s="48">
        <v>517.01</v>
      </c>
      <c r="H208" s="36">
        <v>45658</v>
      </c>
      <c r="I208" s="11"/>
      <c r="J208" s="10" t="s">
        <v>24</v>
      </c>
      <c r="K208" s="12" t="s">
        <v>25</v>
      </c>
      <c r="L208" s="54">
        <f t="shared" ref="L208" si="76">(ISNUMBER(G208))-1</f>
        <v>0</v>
      </c>
    </row>
    <row r="209" spans="1:12" hidden="1" x14ac:dyDescent="0.2">
      <c r="A209" s="9" t="s">
        <v>263</v>
      </c>
      <c r="B209" s="10" t="s">
        <v>264</v>
      </c>
      <c r="C209" s="10" t="e">
        <f>Data_BI!#REF!</f>
        <v>#REF!</v>
      </c>
      <c r="D209" s="10" t="s">
        <v>30</v>
      </c>
      <c r="E209" s="6" t="s">
        <v>621</v>
      </c>
      <c r="F209" s="10" t="s">
        <v>272</v>
      </c>
      <c r="G209" s="48">
        <v>449.13</v>
      </c>
      <c r="H209" s="36">
        <v>45658</v>
      </c>
      <c r="I209" s="11"/>
      <c r="J209" s="10" t="s">
        <v>24</v>
      </c>
      <c r="K209" s="8" t="s">
        <v>266</v>
      </c>
      <c r="L209" s="54">
        <f t="shared" ref="L209:L210" si="77">(ISNUMBER(G209))-1</f>
        <v>0</v>
      </c>
    </row>
    <row r="210" spans="1:12" hidden="1" x14ac:dyDescent="0.2">
      <c r="A210" s="5" t="s">
        <v>263</v>
      </c>
      <c r="B210" s="6" t="s">
        <v>264</v>
      </c>
      <c r="C210" s="6" t="e">
        <f>Data_BI!#REF!</f>
        <v>#REF!</v>
      </c>
      <c r="D210" s="6" t="s">
        <v>622</v>
      </c>
      <c r="E210" s="6" t="s">
        <v>621</v>
      </c>
      <c r="F210" s="6" t="s">
        <v>271</v>
      </c>
      <c r="G210" s="49">
        <v>434.3</v>
      </c>
      <c r="H210" s="35">
        <v>45658</v>
      </c>
      <c r="I210" s="7"/>
      <c r="J210" s="6" t="s">
        <v>24</v>
      </c>
      <c r="K210" s="8" t="s">
        <v>266</v>
      </c>
      <c r="L210" s="54">
        <f t="shared" si="77"/>
        <v>0</v>
      </c>
    </row>
    <row r="211" spans="1:12" hidden="1" x14ac:dyDescent="0.2">
      <c r="A211" s="9" t="s">
        <v>81</v>
      </c>
      <c r="B211" s="10" t="s">
        <v>82</v>
      </c>
      <c r="C211" s="10" t="s">
        <v>148</v>
      </c>
      <c r="D211" s="6" t="s">
        <v>622</v>
      </c>
      <c r="E211" s="6" t="s">
        <v>621</v>
      </c>
      <c r="F211" s="10" t="s">
        <v>149</v>
      </c>
      <c r="G211" s="48">
        <v>398</v>
      </c>
      <c r="H211" s="36">
        <v>45658</v>
      </c>
      <c r="I211" s="11"/>
      <c r="J211" s="10" t="s">
        <v>24</v>
      </c>
      <c r="K211" s="12" t="s">
        <v>25</v>
      </c>
      <c r="L211" s="54">
        <f t="shared" ref="L211:L213" si="78">(ISNUMBER(G211))-1</f>
        <v>0</v>
      </c>
    </row>
    <row r="212" spans="1:12" hidden="1" x14ac:dyDescent="0.2">
      <c r="A212" s="9" t="s">
        <v>263</v>
      </c>
      <c r="B212" s="10" t="s">
        <v>264</v>
      </c>
      <c r="C212" s="10" t="e">
        <f>Data_BI!#REF!</f>
        <v>#REF!</v>
      </c>
      <c r="D212" s="6" t="s">
        <v>622</v>
      </c>
      <c r="E212" s="6" t="s">
        <v>621</v>
      </c>
      <c r="F212" s="10" t="s">
        <v>270</v>
      </c>
      <c r="G212" s="48">
        <v>355.75</v>
      </c>
      <c r="H212" s="36">
        <v>45658</v>
      </c>
      <c r="I212" s="11" t="s">
        <v>268</v>
      </c>
      <c r="J212" s="10" t="s">
        <v>24</v>
      </c>
      <c r="K212" s="8" t="s">
        <v>266</v>
      </c>
      <c r="L212" s="54">
        <f t="shared" si="78"/>
        <v>0</v>
      </c>
    </row>
    <row r="213" spans="1:12" hidden="1" x14ac:dyDescent="0.2">
      <c r="A213" s="9" t="s">
        <v>201</v>
      </c>
      <c r="B213" s="10" t="s">
        <v>202</v>
      </c>
      <c r="C213" s="10" t="s">
        <v>203</v>
      </c>
      <c r="D213" s="6" t="s">
        <v>622</v>
      </c>
      <c r="E213" s="6" t="s">
        <v>212</v>
      </c>
      <c r="F213" s="10"/>
      <c r="G213" s="48">
        <v>327.24</v>
      </c>
      <c r="H213" s="36">
        <v>45658</v>
      </c>
      <c r="I213" s="11"/>
      <c r="J213" s="10" t="s">
        <v>24</v>
      </c>
      <c r="K213" s="12" t="s">
        <v>25</v>
      </c>
      <c r="L213" s="54">
        <f t="shared" si="78"/>
        <v>0</v>
      </c>
    </row>
    <row r="214" spans="1:12" hidden="1" x14ac:dyDescent="0.2">
      <c r="A214" s="5" t="s">
        <v>263</v>
      </c>
      <c r="B214" s="6" t="s">
        <v>264</v>
      </c>
      <c r="C214" s="6" t="e">
        <f>Data_BI!#REF!</f>
        <v>#REF!</v>
      </c>
      <c r="D214" s="6" t="s">
        <v>30</v>
      </c>
      <c r="E214" s="6" t="s">
        <v>621</v>
      </c>
      <c r="F214" s="6" t="s">
        <v>269</v>
      </c>
      <c r="G214" s="49">
        <v>191.27</v>
      </c>
      <c r="H214" s="35">
        <v>45658</v>
      </c>
      <c r="I214" s="7" t="s">
        <v>268</v>
      </c>
      <c r="J214" s="6" t="s">
        <v>24</v>
      </c>
      <c r="K214" s="8" t="s">
        <v>266</v>
      </c>
      <c r="L214" s="54">
        <f t="shared" ref="L214:L215" si="79">(ISNUMBER(G214))-1</f>
        <v>0</v>
      </c>
    </row>
    <row r="215" spans="1:12" hidden="1" x14ac:dyDescent="0.2">
      <c r="A215" s="5" t="s">
        <v>81</v>
      </c>
      <c r="B215" s="6" t="s">
        <v>82</v>
      </c>
      <c r="C215" s="6" t="s">
        <v>83</v>
      </c>
      <c r="D215" s="6" t="s">
        <v>622</v>
      </c>
      <c r="E215" s="6" t="s">
        <v>621</v>
      </c>
      <c r="F215" s="6" t="s">
        <v>84</v>
      </c>
      <c r="G215" s="49">
        <v>150</v>
      </c>
      <c r="H215" s="35">
        <v>45658</v>
      </c>
      <c r="I215" s="7"/>
      <c r="J215" s="6" t="s">
        <v>24</v>
      </c>
      <c r="K215" s="8" t="s">
        <v>25</v>
      </c>
      <c r="L215" s="54">
        <f t="shared" si="79"/>
        <v>0</v>
      </c>
    </row>
    <row r="216" spans="1:12" hidden="1" x14ac:dyDescent="0.2">
      <c r="A216" s="9" t="s">
        <v>263</v>
      </c>
      <c r="B216" s="10" t="s">
        <v>264</v>
      </c>
      <c r="C216" s="10" t="e">
        <f>Data_BI!#REF!</f>
        <v>#REF!</v>
      </c>
      <c r="D216" s="10" t="s">
        <v>30</v>
      </c>
      <c r="E216" s="6" t="s">
        <v>621</v>
      </c>
      <c r="F216" s="10" t="s">
        <v>267</v>
      </c>
      <c r="G216" s="48">
        <v>64</v>
      </c>
      <c r="H216" s="36">
        <v>45658</v>
      </c>
      <c r="I216" s="11" t="s">
        <v>268</v>
      </c>
      <c r="J216" s="10" t="s">
        <v>24</v>
      </c>
      <c r="K216" s="8" t="s">
        <v>266</v>
      </c>
      <c r="L216" s="54">
        <f t="shared" ref="L216:L217" si="80">(ISNUMBER(G216))-1</f>
        <v>0</v>
      </c>
    </row>
    <row r="217" spans="1:12" hidden="1" x14ac:dyDescent="0.2">
      <c r="A217" s="9" t="s">
        <v>201</v>
      </c>
      <c r="B217" s="10" t="s">
        <v>202</v>
      </c>
      <c r="C217" s="10" t="s">
        <v>203</v>
      </c>
      <c r="D217" s="6" t="s">
        <v>622</v>
      </c>
      <c r="E217" s="6" t="s">
        <v>211</v>
      </c>
      <c r="F217" s="10"/>
      <c r="G217" s="48">
        <v>53.41</v>
      </c>
      <c r="H217" s="36">
        <v>45658</v>
      </c>
      <c r="I217" s="11"/>
      <c r="J217" s="10" t="s">
        <v>24</v>
      </c>
      <c r="K217" s="12" t="s">
        <v>25</v>
      </c>
      <c r="L217" s="54">
        <f t="shared" si="80"/>
        <v>0</v>
      </c>
    </row>
    <row r="218" spans="1:12" hidden="1" x14ac:dyDescent="0.2">
      <c r="A218" s="9" t="s">
        <v>81</v>
      </c>
      <c r="B218" s="10" t="s">
        <v>82</v>
      </c>
      <c r="C218" s="10" t="s">
        <v>115</v>
      </c>
      <c r="D218" s="10" t="s">
        <v>30</v>
      </c>
      <c r="E218" s="6" t="s">
        <v>621</v>
      </c>
      <c r="F218" s="10" t="s">
        <v>117</v>
      </c>
      <c r="G218" s="48">
        <v>25</v>
      </c>
      <c r="H218" s="36">
        <v>45658</v>
      </c>
      <c r="I218" s="11"/>
      <c r="J218" s="10" t="s">
        <v>24</v>
      </c>
      <c r="K218" s="12" t="s">
        <v>25</v>
      </c>
      <c r="L218" s="54">
        <f t="shared" ref="L218:L219" si="81">(ISNUMBER(G218))-1</f>
        <v>0</v>
      </c>
    </row>
    <row r="219" spans="1:12" hidden="1" x14ac:dyDescent="0.2">
      <c r="A219" s="5" t="s">
        <v>252</v>
      </c>
      <c r="B219" s="6" t="s">
        <v>253</v>
      </c>
      <c r="C219" s="6" t="str">
        <f>Data_BI!$B7</f>
        <v>Безнал</v>
      </c>
      <c r="D219" s="6" t="s">
        <v>622</v>
      </c>
      <c r="E219" s="6" t="s">
        <v>621</v>
      </c>
      <c r="F219" s="6" t="s">
        <v>255</v>
      </c>
      <c r="G219" s="49">
        <v>21.35</v>
      </c>
      <c r="H219" s="35">
        <v>45658</v>
      </c>
      <c r="I219" s="7"/>
      <c r="J219" s="6" t="s">
        <v>24</v>
      </c>
      <c r="K219" s="8" t="s">
        <v>25</v>
      </c>
      <c r="L219" s="54">
        <f t="shared" si="81"/>
        <v>0</v>
      </c>
    </row>
    <row r="220" spans="1:12" hidden="1" x14ac:dyDescent="0.2">
      <c r="A220" s="5" t="s">
        <v>263</v>
      </c>
      <c r="B220" s="6" t="s">
        <v>264</v>
      </c>
      <c r="C220" s="6" t="e">
        <f>Data_BI!#REF!</f>
        <v>#REF!</v>
      </c>
      <c r="D220" s="6" t="s">
        <v>622</v>
      </c>
      <c r="E220" s="6" t="s">
        <v>621</v>
      </c>
      <c r="F220" s="6" t="s">
        <v>265</v>
      </c>
      <c r="G220" s="49">
        <v>19.5</v>
      </c>
      <c r="H220" s="35">
        <v>45658</v>
      </c>
      <c r="I220" s="7"/>
      <c r="J220" s="6" t="s">
        <v>24</v>
      </c>
      <c r="K220" s="8" t="s">
        <v>266</v>
      </c>
      <c r="L220" s="54">
        <f t="shared" ref="L220:L221" si="82">(ISNUMBER(G220))-1</f>
        <v>0</v>
      </c>
    </row>
    <row r="221" spans="1:12" hidden="1" x14ac:dyDescent="0.2">
      <c r="A221" s="9" t="s">
        <v>252</v>
      </c>
      <c r="B221" s="10" t="s">
        <v>253</v>
      </c>
      <c r="C221" s="10" t="e">
        <f>Data_BI!#REF!</f>
        <v>#REF!</v>
      </c>
      <c r="D221" s="6" t="s">
        <v>622</v>
      </c>
      <c r="E221" s="6" t="s">
        <v>621</v>
      </c>
      <c r="F221" s="10" t="s">
        <v>254</v>
      </c>
      <c r="G221" s="48">
        <v>18</v>
      </c>
      <c r="H221" s="36">
        <v>45658</v>
      </c>
      <c r="I221" s="11"/>
      <c r="J221" s="10" t="s">
        <v>24</v>
      </c>
      <c r="K221" s="12" t="s">
        <v>25</v>
      </c>
      <c r="L221" s="54">
        <f t="shared" si="82"/>
        <v>0</v>
      </c>
    </row>
    <row r="222" spans="1:12" hidden="1" x14ac:dyDescent="0.2">
      <c r="A222" s="5" t="s">
        <v>343</v>
      </c>
      <c r="B222" s="6" t="s">
        <v>349</v>
      </c>
      <c r="C222" s="6" t="s">
        <v>363</v>
      </c>
      <c r="D222" s="6" t="s">
        <v>622</v>
      </c>
      <c r="E222" s="6" t="s">
        <v>621</v>
      </c>
      <c r="F222" s="6" t="s">
        <v>364</v>
      </c>
      <c r="G222" s="49">
        <v>0</v>
      </c>
      <c r="H222" s="35">
        <v>45658</v>
      </c>
      <c r="I222" s="7"/>
      <c r="J222" s="6" t="s">
        <v>24</v>
      </c>
      <c r="K222" s="8" t="s">
        <v>66</v>
      </c>
      <c r="L222" s="54">
        <f t="shared" ref="L222" si="83">(ISNUMBER(G222))-1</f>
        <v>0</v>
      </c>
    </row>
    <row r="223" spans="1:12" hidden="1" x14ac:dyDescent="0.2">
      <c r="A223" s="5" t="s">
        <v>81</v>
      </c>
      <c r="B223" s="6" t="s">
        <v>168</v>
      </c>
      <c r="C223" s="6" t="s">
        <v>186</v>
      </c>
      <c r="D223" s="6" t="s">
        <v>622</v>
      </c>
      <c r="E223" s="6" t="s">
        <v>621</v>
      </c>
      <c r="F223" s="6" t="s">
        <v>196</v>
      </c>
      <c r="G223" s="49">
        <v>-30</v>
      </c>
      <c r="H223" s="35">
        <v>45658</v>
      </c>
      <c r="I223" s="7"/>
      <c r="J223" s="6" t="s">
        <v>24</v>
      </c>
      <c r="K223" s="8" t="s">
        <v>66</v>
      </c>
      <c r="L223" s="54">
        <f t="shared" ref="L223" si="84">(ISNUMBER(G223))-1</f>
        <v>0</v>
      </c>
    </row>
    <row r="224" spans="1:12" hidden="1" x14ac:dyDescent="0.2">
      <c r="A224" s="5" t="s">
        <v>201</v>
      </c>
      <c r="B224" s="6" t="s">
        <v>202</v>
      </c>
      <c r="C224" s="6" t="s">
        <v>213</v>
      </c>
      <c r="D224" s="6" t="s">
        <v>622</v>
      </c>
      <c r="E224" s="6" t="s">
        <v>207</v>
      </c>
      <c r="F224" s="6"/>
      <c r="G224" s="49">
        <v>-31.11</v>
      </c>
      <c r="H224" s="35">
        <v>45658</v>
      </c>
      <c r="I224" s="7"/>
      <c r="J224" s="6" t="s">
        <v>24</v>
      </c>
      <c r="K224" s="8" t="s">
        <v>25</v>
      </c>
      <c r="L224" s="54">
        <f t="shared" ref="L224:L225" si="85">(ISNUMBER(G224))-1</f>
        <v>0</v>
      </c>
    </row>
    <row r="225" spans="1:12" hidden="1" x14ac:dyDescent="0.2">
      <c r="A225" s="9" t="s">
        <v>81</v>
      </c>
      <c r="B225" s="10" t="s">
        <v>168</v>
      </c>
      <c r="C225" s="10" t="s">
        <v>186</v>
      </c>
      <c r="D225" s="6" t="s">
        <v>622</v>
      </c>
      <c r="E225" s="6" t="s">
        <v>621</v>
      </c>
      <c r="F225" s="10" t="s">
        <v>195</v>
      </c>
      <c r="G225" s="48">
        <v>-45</v>
      </c>
      <c r="H225" s="36">
        <v>45658</v>
      </c>
      <c r="I225" s="11"/>
      <c r="J225" s="10" t="s">
        <v>24</v>
      </c>
      <c r="K225" s="12" t="s">
        <v>66</v>
      </c>
      <c r="L225" s="54">
        <f t="shared" si="85"/>
        <v>0</v>
      </c>
    </row>
    <row r="226" spans="1:12" hidden="1" x14ac:dyDescent="0.2">
      <c r="A226" s="5" t="s">
        <v>81</v>
      </c>
      <c r="B226" s="6" t="s">
        <v>168</v>
      </c>
      <c r="C226" s="6" t="s">
        <v>171</v>
      </c>
      <c r="D226" s="6" t="s">
        <v>622</v>
      </c>
      <c r="E226" s="6" t="s">
        <v>621</v>
      </c>
      <c r="F226" s="6" t="s">
        <v>177</v>
      </c>
      <c r="G226" s="49">
        <v>-83.33</v>
      </c>
      <c r="H226" s="35">
        <v>45658</v>
      </c>
      <c r="I226" s="7"/>
      <c r="J226" s="6" t="s">
        <v>24</v>
      </c>
      <c r="K226" s="8" t="s">
        <v>66</v>
      </c>
      <c r="L226" s="54">
        <f t="shared" ref="L226:L227" si="86">(ISNUMBER(G226))-1</f>
        <v>0</v>
      </c>
    </row>
    <row r="227" spans="1:12" hidden="1" x14ac:dyDescent="0.2">
      <c r="A227" s="5" t="s">
        <v>81</v>
      </c>
      <c r="B227" s="6" t="s">
        <v>82</v>
      </c>
      <c r="C227" s="6" t="s">
        <v>115</v>
      </c>
      <c r="D227" s="6" t="s">
        <v>30</v>
      </c>
      <c r="E227" s="6" t="s">
        <v>621</v>
      </c>
      <c r="F227" s="6" t="s">
        <v>116</v>
      </c>
      <c r="G227" s="49">
        <v>-99</v>
      </c>
      <c r="H227" s="35">
        <v>45658</v>
      </c>
      <c r="I227" s="7"/>
      <c r="J227" s="6" t="s">
        <v>24</v>
      </c>
      <c r="K227" s="8" t="s">
        <v>25</v>
      </c>
      <c r="L227" s="54">
        <f t="shared" si="86"/>
        <v>0</v>
      </c>
    </row>
    <row r="228" spans="1:12" hidden="1" x14ac:dyDescent="0.2">
      <c r="A228" s="9" t="s">
        <v>221</v>
      </c>
      <c r="B228" s="10" t="s">
        <v>235</v>
      </c>
      <c r="C228" s="10" t="s">
        <v>236</v>
      </c>
      <c r="D228" s="6" t="s">
        <v>622</v>
      </c>
      <c r="E228" s="6" t="s">
        <v>621</v>
      </c>
      <c r="F228" s="10" t="s">
        <v>240</v>
      </c>
      <c r="G228" s="48">
        <v>-120.53</v>
      </c>
      <c r="H228" s="36">
        <v>45658</v>
      </c>
      <c r="I228" s="11"/>
      <c r="J228" s="10" t="s">
        <v>24</v>
      </c>
      <c r="K228" s="12" t="s">
        <v>66</v>
      </c>
      <c r="L228" s="54">
        <f t="shared" ref="L228:L231" si="87">(ISNUMBER(G228))-1</f>
        <v>0</v>
      </c>
    </row>
    <row r="229" spans="1:12" hidden="1" x14ac:dyDescent="0.2">
      <c r="A229" s="9" t="s">
        <v>263</v>
      </c>
      <c r="B229" s="10" t="s">
        <v>301</v>
      </c>
      <c r="C229" s="10" t="s">
        <v>301</v>
      </c>
      <c r="D229" s="10" t="s">
        <v>30</v>
      </c>
      <c r="E229" s="6" t="s">
        <v>621</v>
      </c>
      <c r="F229" s="10" t="s">
        <v>325</v>
      </c>
      <c r="G229" s="48">
        <v>-128</v>
      </c>
      <c r="H229" s="36">
        <v>45658</v>
      </c>
      <c r="I229" s="11"/>
      <c r="J229" s="10" t="s">
        <v>24</v>
      </c>
      <c r="K229" s="8" t="s">
        <v>266</v>
      </c>
      <c r="L229" s="54">
        <f t="shared" si="87"/>
        <v>0</v>
      </c>
    </row>
    <row r="230" spans="1:12" hidden="1" x14ac:dyDescent="0.2">
      <c r="A230" s="9" t="s">
        <v>81</v>
      </c>
      <c r="B230" s="10" t="s">
        <v>168</v>
      </c>
      <c r="C230" s="10" t="s">
        <v>111</v>
      </c>
      <c r="D230" s="6" t="s">
        <v>622</v>
      </c>
      <c r="E230" s="6" t="s">
        <v>621</v>
      </c>
      <c r="F230" s="10" t="s">
        <v>200</v>
      </c>
      <c r="G230" s="48">
        <v>-149</v>
      </c>
      <c r="H230" s="36">
        <v>45658</v>
      </c>
      <c r="I230" s="11"/>
      <c r="J230" s="10" t="s">
        <v>24</v>
      </c>
      <c r="K230" s="12" t="s">
        <v>66</v>
      </c>
      <c r="L230" s="54">
        <f t="shared" si="87"/>
        <v>0</v>
      </c>
    </row>
    <row r="231" spans="1:12" hidden="1" x14ac:dyDescent="0.2">
      <c r="A231" s="9" t="s">
        <v>201</v>
      </c>
      <c r="B231" s="10" t="s">
        <v>214</v>
      </c>
      <c r="C231" s="10" t="s">
        <v>217</v>
      </c>
      <c r="D231" s="6" t="s">
        <v>622</v>
      </c>
      <c r="E231" s="6" t="s">
        <v>204</v>
      </c>
      <c r="F231" s="10"/>
      <c r="G231" s="48">
        <v>-175.15</v>
      </c>
      <c r="H231" s="36">
        <v>45658</v>
      </c>
      <c r="I231" s="11"/>
      <c r="J231" s="10" t="s">
        <v>24</v>
      </c>
      <c r="K231" s="12" t="s">
        <v>25</v>
      </c>
      <c r="L231" s="54">
        <f t="shared" si="87"/>
        <v>0</v>
      </c>
    </row>
    <row r="232" spans="1:12" hidden="1" x14ac:dyDescent="0.2">
      <c r="A232" s="9" t="s">
        <v>201</v>
      </c>
      <c r="B232" s="10" t="s">
        <v>202</v>
      </c>
      <c r="C232" s="10" t="s">
        <v>213</v>
      </c>
      <c r="D232" s="6" t="s">
        <v>622</v>
      </c>
      <c r="E232" s="6" t="s">
        <v>205</v>
      </c>
      <c r="F232" s="10"/>
      <c r="G232" s="48">
        <v>-222.8</v>
      </c>
      <c r="H232" s="36">
        <v>45658</v>
      </c>
      <c r="I232" s="11"/>
      <c r="J232" s="10" t="s">
        <v>24</v>
      </c>
      <c r="K232" s="12" t="s">
        <v>25</v>
      </c>
      <c r="L232" s="54">
        <f t="shared" ref="L232:L234" si="88">(ISNUMBER(G232))-1</f>
        <v>0</v>
      </c>
    </row>
    <row r="233" spans="1:12" hidden="1" x14ac:dyDescent="0.2">
      <c r="A233" s="5" t="s">
        <v>221</v>
      </c>
      <c r="B233" s="6" t="s">
        <v>235</v>
      </c>
      <c r="C233" s="6" t="s">
        <v>236</v>
      </c>
      <c r="D233" s="6" t="s">
        <v>622</v>
      </c>
      <c r="E233" s="6" t="s">
        <v>621</v>
      </c>
      <c r="F233" s="6" t="s">
        <v>239</v>
      </c>
      <c r="G233" s="49">
        <v>-277.51</v>
      </c>
      <c r="H233" s="35">
        <v>45658</v>
      </c>
      <c r="I233" s="7"/>
      <c r="J233" s="6" t="s">
        <v>24</v>
      </c>
      <c r="K233" s="8" t="s">
        <v>66</v>
      </c>
      <c r="L233" s="54">
        <f t="shared" si="88"/>
        <v>0</v>
      </c>
    </row>
    <row r="234" spans="1:12" hidden="1" x14ac:dyDescent="0.2">
      <c r="A234" s="9" t="s">
        <v>221</v>
      </c>
      <c r="B234" s="10" t="s">
        <v>235</v>
      </c>
      <c r="C234" s="10" t="s">
        <v>241</v>
      </c>
      <c r="D234" s="6" t="s">
        <v>622</v>
      </c>
      <c r="E234" s="6" t="s">
        <v>621</v>
      </c>
      <c r="F234" s="10" t="s">
        <v>247</v>
      </c>
      <c r="G234" s="48">
        <v>-289.54000000000002</v>
      </c>
      <c r="H234" s="36">
        <v>45658</v>
      </c>
      <c r="I234" s="11"/>
      <c r="J234" s="10" t="s">
        <v>24</v>
      </c>
      <c r="K234" s="12" t="s">
        <v>66</v>
      </c>
      <c r="L234" s="54">
        <f t="shared" si="88"/>
        <v>0</v>
      </c>
    </row>
    <row r="235" spans="1:12" hidden="1" x14ac:dyDescent="0.2">
      <c r="A235" s="5" t="s">
        <v>343</v>
      </c>
      <c r="B235" s="6" t="s">
        <v>349</v>
      </c>
      <c r="C235" s="6" t="s">
        <v>363</v>
      </c>
      <c r="D235" s="6" t="s">
        <v>622</v>
      </c>
      <c r="E235" s="6" t="s">
        <v>621</v>
      </c>
      <c r="F235" s="6" t="s">
        <v>485</v>
      </c>
      <c r="G235" s="49">
        <v>-300</v>
      </c>
      <c r="H235" s="35">
        <v>45658</v>
      </c>
      <c r="I235" s="7"/>
      <c r="J235" s="6" t="s">
        <v>24</v>
      </c>
      <c r="K235" s="8" t="s">
        <v>66</v>
      </c>
      <c r="L235" s="54">
        <f t="shared" ref="L235" si="89">(ISNUMBER(G235))-1</f>
        <v>0</v>
      </c>
    </row>
    <row r="236" spans="1:12" hidden="1" x14ac:dyDescent="0.2">
      <c r="A236" s="9" t="s">
        <v>343</v>
      </c>
      <c r="B236" s="10" t="s">
        <v>349</v>
      </c>
      <c r="C236" s="10" t="s">
        <v>365</v>
      </c>
      <c r="D236" s="6" t="s">
        <v>622</v>
      </c>
      <c r="E236" s="6" t="s">
        <v>621</v>
      </c>
      <c r="F236" s="10" t="s">
        <v>585</v>
      </c>
      <c r="G236" s="48">
        <v>-467.28</v>
      </c>
      <c r="H236" s="36">
        <v>45658</v>
      </c>
      <c r="I236" s="11"/>
      <c r="J236" s="10" t="s">
        <v>24</v>
      </c>
      <c r="K236" s="12" t="s">
        <v>66</v>
      </c>
      <c r="L236" s="54">
        <f t="shared" ref="L236" si="90">(ISNUMBER(G236))-1</f>
        <v>0</v>
      </c>
    </row>
    <row r="237" spans="1:12" hidden="1" x14ac:dyDescent="0.2">
      <c r="A237" s="9" t="s">
        <v>201</v>
      </c>
      <c r="B237" s="10" t="s">
        <v>202</v>
      </c>
      <c r="C237" s="10" t="s">
        <v>213</v>
      </c>
      <c r="D237" s="6" t="s">
        <v>622</v>
      </c>
      <c r="E237" s="6" t="s">
        <v>207</v>
      </c>
      <c r="F237" s="10"/>
      <c r="G237" s="48">
        <v>-526.79999999999995</v>
      </c>
      <c r="H237" s="36">
        <v>45658</v>
      </c>
      <c r="I237" s="11"/>
      <c r="J237" s="10" t="s">
        <v>24</v>
      </c>
      <c r="K237" s="12" t="s">
        <v>25</v>
      </c>
      <c r="L237" s="54">
        <f t="shared" ref="L237" si="91">(ISNUMBER(G237))-1</f>
        <v>0</v>
      </c>
    </row>
    <row r="238" spans="1:12" hidden="1" x14ac:dyDescent="0.2">
      <c r="A238" s="5" t="s">
        <v>343</v>
      </c>
      <c r="B238" s="6" t="s">
        <v>411</v>
      </c>
      <c r="C238" s="6" t="e">
        <f>Data_BI!#REF!</f>
        <v>#REF!</v>
      </c>
      <c r="D238" s="6" t="s">
        <v>622</v>
      </c>
      <c r="E238" s="6" t="s">
        <v>621</v>
      </c>
      <c r="F238" s="6" t="s">
        <v>439</v>
      </c>
      <c r="G238" s="49">
        <v>-900</v>
      </c>
      <c r="H238" s="35">
        <v>45658</v>
      </c>
      <c r="I238" s="7"/>
      <c r="J238" s="6" t="s">
        <v>24</v>
      </c>
      <c r="K238" s="8" t="s">
        <v>66</v>
      </c>
      <c r="L238" s="54">
        <f t="shared" ref="L238" si="92">(ISNUMBER(G238))-1</f>
        <v>0</v>
      </c>
    </row>
    <row r="239" spans="1:12" hidden="1" x14ac:dyDescent="0.2">
      <c r="A239" s="9" t="s">
        <v>15</v>
      </c>
      <c r="B239" s="10" t="s">
        <v>63</v>
      </c>
      <c r="C239" s="10" t="s">
        <v>69</v>
      </c>
      <c r="D239" s="10" t="s">
        <v>30</v>
      </c>
      <c r="E239" s="6" t="s">
        <v>621</v>
      </c>
      <c r="F239" s="10" t="s">
        <v>70</v>
      </c>
      <c r="G239" s="48">
        <v>-1043</v>
      </c>
      <c r="H239" s="36">
        <v>45658</v>
      </c>
      <c r="I239" s="11"/>
      <c r="J239" s="10" t="s">
        <v>24</v>
      </c>
      <c r="K239" s="12" t="s">
        <v>66</v>
      </c>
      <c r="L239" s="54">
        <f t="shared" ref="L239" si="93">(ISNUMBER(G239))-1</f>
        <v>0</v>
      </c>
    </row>
    <row r="240" spans="1:12" hidden="1" x14ac:dyDescent="0.2">
      <c r="A240" s="5" t="s">
        <v>263</v>
      </c>
      <c r="B240" s="6" t="s">
        <v>301</v>
      </c>
      <c r="C240" s="6" t="e">
        <f>Data_BI!#REF!</f>
        <v>#REF!</v>
      </c>
      <c r="D240" s="6" t="s">
        <v>30</v>
      </c>
      <c r="E240" s="6" t="s">
        <v>621</v>
      </c>
      <c r="F240" s="6" t="s">
        <v>335</v>
      </c>
      <c r="G240" s="49">
        <v>-1171.71</v>
      </c>
      <c r="H240" s="35">
        <v>45658</v>
      </c>
      <c r="I240" s="7" t="s">
        <v>268</v>
      </c>
      <c r="J240" s="6" t="s">
        <v>24</v>
      </c>
      <c r="K240" s="8" t="s">
        <v>266</v>
      </c>
      <c r="L240" s="54">
        <f t="shared" ref="L240" si="94">(ISNUMBER(G240))-1</f>
        <v>0</v>
      </c>
    </row>
    <row r="241" spans="1:12" hidden="1" x14ac:dyDescent="0.2">
      <c r="A241" s="5" t="s">
        <v>201</v>
      </c>
      <c r="B241" s="6" t="s">
        <v>214</v>
      </c>
      <c r="C241" s="6" t="s">
        <v>217</v>
      </c>
      <c r="D241" s="6" t="s">
        <v>622</v>
      </c>
      <c r="E241" s="6" t="s">
        <v>208</v>
      </c>
      <c r="F241" s="6"/>
      <c r="G241" s="49">
        <v>-1387.47</v>
      </c>
      <c r="H241" s="35">
        <v>45658</v>
      </c>
      <c r="I241" s="7"/>
      <c r="J241" s="6" t="s">
        <v>24</v>
      </c>
      <c r="K241" s="8" t="s">
        <v>25</v>
      </c>
      <c r="L241" s="54">
        <f t="shared" ref="L241:L242" si="95">(ISNUMBER(G241))-1</f>
        <v>0</v>
      </c>
    </row>
    <row r="242" spans="1:12" hidden="1" x14ac:dyDescent="0.2">
      <c r="A242" s="5" t="s">
        <v>343</v>
      </c>
      <c r="B242" s="6" t="s">
        <v>349</v>
      </c>
      <c r="C242" s="6" t="s">
        <v>365</v>
      </c>
      <c r="D242" s="6" t="s">
        <v>622</v>
      </c>
      <c r="E242" s="6" t="s">
        <v>621</v>
      </c>
      <c r="F242" s="6" t="s">
        <v>544</v>
      </c>
      <c r="G242" s="49">
        <v>-1470.0240000000001</v>
      </c>
      <c r="H242" s="35">
        <v>45658</v>
      </c>
      <c r="I242" s="7"/>
      <c r="J242" s="6" t="s">
        <v>24</v>
      </c>
      <c r="K242" s="8" t="s">
        <v>66</v>
      </c>
      <c r="L242" s="54">
        <f t="shared" si="95"/>
        <v>0</v>
      </c>
    </row>
    <row r="243" spans="1:12" hidden="1" x14ac:dyDescent="0.2">
      <c r="A243" s="9" t="s">
        <v>343</v>
      </c>
      <c r="B243" s="10" t="s">
        <v>349</v>
      </c>
      <c r="C243" s="10" t="s">
        <v>365</v>
      </c>
      <c r="D243" s="6" t="s">
        <v>622</v>
      </c>
      <c r="E243" s="6" t="s">
        <v>621</v>
      </c>
      <c r="F243" s="10" t="s">
        <v>559</v>
      </c>
      <c r="G243" s="48">
        <v>-1741.104</v>
      </c>
      <c r="H243" s="36">
        <v>45658</v>
      </c>
      <c r="I243" s="11"/>
      <c r="J243" s="10" t="s">
        <v>24</v>
      </c>
      <c r="K243" s="12" t="s">
        <v>66</v>
      </c>
      <c r="L243" s="54">
        <f t="shared" ref="L243" si="96">(ISNUMBER(G243))-1</f>
        <v>0</v>
      </c>
    </row>
    <row r="244" spans="1:12" hidden="1" x14ac:dyDescent="0.2">
      <c r="A244" s="9" t="s">
        <v>263</v>
      </c>
      <c r="B244" s="10" t="s">
        <v>301</v>
      </c>
      <c r="C244" s="10" t="s">
        <v>301</v>
      </c>
      <c r="D244" s="6" t="s">
        <v>622</v>
      </c>
      <c r="E244" s="6" t="s">
        <v>621</v>
      </c>
      <c r="F244" s="10" t="s">
        <v>334</v>
      </c>
      <c r="G244" s="48">
        <v>-2042.11</v>
      </c>
      <c r="H244" s="36">
        <v>45658</v>
      </c>
      <c r="I244" s="11"/>
      <c r="J244" s="10" t="s">
        <v>24</v>
      </c>
      <c r="K244" s="8" t="s">
        <v>266</v>
      </c>
      <c r="L244" s="54">
        <f t="shared" ref="L244:L245" si="97">(ISNUMBER(G244))-1</f>
        <v>0</v>
      </c>
    </row>
    <row r="245" spans="1:12" hidden="1" x14ac:dyDescent="0.2">
      <c r="A245" s="5" t="s">
        <v>15</v>
      </c>
      <c r="B245" s="6" t="s">
        <v>63</v>
      </c>
      <c r="C245" s="6" t="s">
        <v>69</v>
      </c>
      <c r="D245" s="6" t="s">
        <v>30</v>
      </c>
      <c r="E245" s="6" t="s">
        <v>621</v>
      </c>
      <c r="F245" s="6" t="s">
        <v>75</v>
      </c>
      <c r="G245" s="49">
        <v>-2175.3200000000002</v>
      </c>
      <c r="H245" s="35">
        <v>45658</v>
      </c>
      <c r="I245" s="7"/>
      <c r="J245" s="6" t="s">
        <v>24</v>
      </c>
      <c r="K245" s="8" t="s">
        <v>66</v>
      </c>
      <c r="L245" s="54">
        <f t="shared" si="97"/>
        <v>0</v>
      </c>
    </row>
    <row r="246" spans="1:12" hidden="1" x14ac:dyDescent="0.2">
      <c r="A246" s="5" t="s">
        <v>263</v>
      </c>
      <c r="B246" s="6" t="s">
        <v>301</v>
      </c>
      <c r="C246" s="6" t="s">
        <v>301</v>
      </c>
      <c r="D246" s="6" t="s">
        <v>30</v>
      </c>
      <c r="E246" s="6" t="s">
        <v>621</v>
      </c>
      <c r="F246" s="6" t="s">
        <v>326</v>
      </c>
      <c r="G246" s="49">
        <v>-2321</v>
      </c>
      <c r="H246" s="35">
        <v>45658</v>
      </c>
      <c r="I246" s="7"/>
      <c r="J246" s="6" t="s">
        <v>24</v>
      </c>
      <c r="K246" s="8" t="s">
        <v>266</v>
      </c>
      <c r="L246" s="54">
        <f t="shared" ref="L246:L250" si="98">(ISNUMBER(G246))-1</f>
        <v>0</v>
      </c>
    </row>
    <row r="247" spans="1:12" hidden="1" x14ac:dyDescent="0.2">
      <c r="A247" s="9" t="s">
        <v>263</v>
      </c>
      <c r="B247" s="10" t="s">
        <v>301</v>
      </c>
      <c r="C247" s="10" t="s">
        <v>301</v>
      </c>
      <c r="D247" s="6" t="s">
        <v>622</v>
      </c>
      <c r="E247" s="6" t="s">
        <v>621</v>
      </c>
      <c r="F247" s="10" t="s">
        <v>333</v>
      </c>
      <c r="G247" s="48">
        <v>-2410.2399999999998</v>
      </c>
      <c r="H247" s="36">
        <v>45658</v>
      </c>
      <c r="I247" s="11"/>
      <c r="J247" s="10" t="s">
        <v>24</v>
      </c>
      <c r="K247" s="8" t="s">
        <v>266</v>
      </c>
      <c r="L247" s="54">
        <f t="shared" si="98"/>
        <v>0</v>
      </c>
    </row>
    <row r="248" spans="1:12" hidden="1" x14ac:dyDescent="0.2">
      <c r="A248" s="5" t="s">
        <v>81</v>
      </c>
      <c r="B248" s="6" t="s">
        <v>168</v>
      </c>
      <c r="C248" s="6" t="s">
        <v>186</v>
      </c>
      <c r="D248" s="6" t="s">
        <v>622</v>
      </c>
      <c r="E248" s="6" t="s">
        <v>621</v>
      </c>
      <c r="F248" s="6" t="s">
        <v>484</v>
      </c>
      <c r="G248" s="49">
        <v>-2410.83</v>
      </c>
      <c r="H248" s="35">
        <v>45658</v>
      </c>
      <c r="I248" s="7"/>
      <c r="J248" s="6" t="s">
        <v>24</v>
      </c>
      <c r="K248" s="8" t="s">
        <v>66</v>
      </c>
      <c r="L248" s="54">
        <f t="shared" si="98"/>
        <v>0</v>
      </c>
    </row>
    <row r="249" spans="1:12" hidden="1" x14ac:dyDescent="0.2">
      <c r="A249" s="9" t="s">
        <v>343</v>
      </c>
      <c r="B249" s="10" t="s">
        <v>349</v>
      </c>
      <c r="C249" s="10" t="s">
        <v>352</v>
      </c>
      <c r="D249" s="6" t="s">
        <v>622</v>
      </c>
      <c r="E249" s="6" t="s">
        <v>621</v>
      </c>
      <c r="F249" s="10" t="s">
        <v>362</v>
      </c>
      <c r="G249" s="48">
        <v>-2450</v>
      </c>
      <c r="H249" s="36">
        <v>45658</v>
      </c>
      <c r="I249" s="11"/>
      <c r="J249" s="10" t="s">
        <v>24</v>
      </c>
      <c r="K249" s="12" t="s">
        <v>66</v>
      </c>
      <c r="L249" s="54">
        <f t="shared" si="98"/>
        <v>0</v>
      </c>
    </row>
    <row r="250" spans="1:12" hidden="1" x14ac:dyDescent="0.2">
      <c r="A250" s="5" t="s">
        <v>263</v>
      </c>
      <c r="B250" s="6" t="s">
        <v>301</v>
      </c>
      <c r="C250" s="6" t="e">
        <f>Data_BI!#REF!</f>
        <v>#REF!</v>
      </c>
      <c r="D250" s="6" t="s">
        <v>622</v>
      </c>
      <c r="E250" s="6" t="s">
        <v>621</v>
      </c>
      <c r="F250" s="6" t="s">
        <v>332</v>
      </c>
      <c r="G250" s="49">
        <v>-2464.35</v>
      </c>
      <c r="H250" s="35">
        <v>45658</v>
      </c>
      <c r="I250" s="7" t="s">
        <v>268</v>
      </c>
      <c r="J250" s="6" t="s">
        <v>24</v>
      </c>
      <c r="K250" s="8" t="s">
        <v>266</v>
      </c>
      <c r="L250" s="54">
        <f t="shared" si="98"/>
        <v>0</v>
      </c>
    </row>
    <row r="251" spans="1:12" hidden="1" x14ac:dyDescent="0.2">
      <c r="A251" s="9" t="s">
        <v>263</v>
      </c>
      <c r="B251" s="10" t="s">
        <v>301</v>
      </c>
      <c r="C251" s="10" t="e">
        <f>Data_BI!#REF!</f>
        <v>#REF!</v>
      </c>
      <c r="D251" s="6" t="s">
        <v>622</v>
      </c>
      <c r="E251" s="6" t="s">
        <v>621</v>
      </c>
      <c r="F251" s="10" t="s">
        <v>306</v>
      </c>
      <c r="G251" s="48">
        <v>-2784</v>
      </c>
      <c r="H251" s="36">
        <v>45658</v>
      </c>
      <c r="I251" s="11" t="s">
        <v>268</v>
      </c>
      <c r="J251" s="10" t="s">
        <v>24</v>
      </c>
      <c r="K251" s="8" t="s">
        <v>266</v>
      </c>
      <c r="L251" s="54">
        <f t="shared" ref="L251:L254" si="99">(ISNUMBER(G251))-1</f>
        <v>0</v>
      </c>
    </row>
    <row r="252" spans="1:12" hidden="1" x14ac:dyDescent="0.2">
      <c r="A252" s="5" t="s">
        <v>81</v>
      </c>
      <c r="B252" s="6" t="s">
        <v>168</v>
      </c>
      <c r="C252" s="6" t="s">
        <v>94</v>
      </c>
      <c r="D252" s="6" t="s">
        <v>622</v>
      </c>
      <c r="E252" s="6" t="s">
        <v>621</v>
      </c>
      <c r="F252" s="6" t="s">
        <v>178</v>
      </c>
      <c r="G252" s="49">
        <v>-3213</v>
      </c>
      <c r="H252" s="35">
        <v>45658</v>
      </c>
      <c r="I252" s="7"/>
      <c r="J252" s="6" t="s">
        <v>24</v>
      </c>
      <c r="K252" s="8" t="s">
        <v>66</v>
      </c>
      <c r="L252" s="54">
        <f t="shared" si="99"/>
        <v>0</v>
      </c>
    </row>
    <row r="253" spans="1:12" hidden="1" x14ac:dyDescent="0.2">
      <c r="A253" s="5" t="s">
        <v>343</v>
      </c>
      <c r="B253" s="6" t="s">
        <v>349</v>
      </c>
      <c r="C253" s="6" t="s">
        <v>352</v>
      </c>
      <c r="D253" s="6" t="s">
        <v>622</v>
      </c>
      <c r="E253" s="6" t="s">
        <v>621</v>
      </c>
      <c r="F253" s="6" t="s">
        <v>483</v>
      </c>
      <c r="G253" s="49">
        <v>-3333.34</v>
      </c>
      <c r="H253" s="35">
        <v>45658</v>
      </c>
      <c r="I253" s="7" t="s">
        <v>407</v>
      </c>
      <c r="J253" s="6" t="s">
        <v>24</v>
      </c>
      <c r="K253" s="8" t="s">
        <v>66</v>
      </c>
      <c r="L253" s="54">
        <f t="shared" si="99"/>
        <v>0</v>
      </c>
    </row>
    <row r="254" spans="1:12" hidden="1" x14ac:dyDescent="0.2">
      <c r="A254" s="9" t="s">
        <v>343</v>
      </c>
      <c r="B254" s="10" t="s">
        <v>411</v>
      </c>
      <c r="C254" s="10" t="e">
        <f>Data_BI!#REF!</f>
        <v>#REF!</v>
      </c>
      <c r="D254" s="6" t="s">
        <v>622</v>
      </c>
      <c r="E254" s="6" t="s">
        <v>621</v>
      </c>
      <c r="F254" s="10" t="s">
        <v>438</v>
      </c>
      <c r="G254" s="48">
        <v>-3390.08</v>
      </c>
      <c r="H254" s="36">
        <v>45658</v>
      </c>
      <c r="I254" s="11"/>
      <c r="J254" s="10" t="s">
        <v>24</v>
      </c>
      <c r="K254" s="12" t="s">
        <v>66</v>
      </c>
      <c r="L254" s="54">
        <f t="shared" si="99"/>
        <v>0</v>
      </c>
    </row>
    <row r="255" spans="1:12" hidden="1" x14ac:dyDescent="0.2">
      <c r="A255" s="9" t="s">
        <v>81</v>
      </c>
      <c r="B255" s="10" t="s">
        <v>168</v>
      </c>
      <c r="C255" s="10" t="s">
        <v>186</v>
      </c>
      <c r="D255" s="6" t="s">
        <v>622</v>
      </c>
      <c r="E255" s="6" t="s">
        <v>621</v>
      </c>
      <c r="F255" s="10" t="s">
        <v>193</v>
      </c>
      <c r="G255" s="48">
        <v>-3640.72</v>
      </c>
      <c r="H255" s="36">
        <v>45658</v>
      </c>
      <c r="I255" s="11"/>
      <c r="J255" s="10" t="s">
        <v>24</v>
      </c>
      <c r="K255" s="12" t="s">
        <v>66</v>
      </c>
      <c r="L255" s="54">
        <f t="shared" ref="L255:L258" si="100">(ISNUMBER(G255))-1</f>
        <v>0</v>
      </c>
    </row>
    <row r="256" spans="1:12" hidden="1" x14ac:dyDescent="0.2">
      <c r="A256" s="9" t="s">
        <v>81</v>
      </c>
      <c r="B256" s="10" t="s">
        <v>168</v>
      </c>
      <c r="C256" s="10" t="s">
        <v>181</v>
      </c>
      <c r="D256" s="6" t="s">
        <v>622</v>
      </c>
      <c r="E256" s="6" t="s">
        <v>621</v>
      </c>
      <c r="F256" s="10" t="s">
        <v>185</v>
      </c>
      <c r="G256" s="48">
        <v>-3690.59</v>
      </c>
      <c r="H256" s="36">
        <v>45658</v>
      </c>
      <c r="I256" s="11"/>
      <c r="J256" s="10" t="s">
        <v>24</v>
      </c>
      <c r="K256" s="12" t="s">
        <v>66</v>
      </c>
      <c r="L256" s="54">
        <f t="shared" si="100"/>
        <v>0</v>
      </c>
    </row>
    <row r="257" spans="1:12" hidden="1" x14ac:dyDescent="0.2">
      <c r="A257" s="9" t="s">
        <v>343</v>
      </c>
      <c r="B257" s="10" t="s">
        <v>349</v>
      </c>
      <c r="C257" s="10" t="s">
        <v>352</v>
      </c>
      <c r="D257" s="6" t="s">
        <v>622</v>
      </c>
      <c r="E257" s="6" t="s">
        <v>621</v>
      </c>
      <c r="F257" s="10" t="s">
        <v>405</v>
      </c>
      <c r="G257" s="48">
        <v>-3947.8</v>
      </c>
      <c r="H257" s="36">
        <v>45658</v>
      </c>
      <c r="I257" s="11"/>
      <c r="J257" s="10" t="s">
        <v>24</v>
      </c>
      <c r="K257" s="12" t="s">
        <v>66</v>
      </c>
      <c r="L257" s="54">
        <f t="shared" si="100"/>
        <v>0</v>
      </c>
    </row>
    <row r="258" spans="1:12" hidden="1" x14ac:dyDescent="0.2">
      <c r="A258" s="9" t="s">
        <v>343</v>
      </c>
      <c r="B258" s="10" t="s">
        <v>344</v>
      </c>
      <c r="C258" s="10" t="e">
        <f>Data_BI!#REF!</f>
        <v>#REF!</v>
      </c>
      <c r="D258" s="6" t="s">
        <v>622</v>
      </c>
      <c r="E258" s="6" t="s">
        <v>621</v>
      </c>
      <c r="F258" s="10" t="s">
        <v>347</v>
      </c>
      <c r="G258" s="48">
        <v>-3982.88</v>
      </c>
      <c r="H258" s="36">
        <v>45658</v>
      </c>
      <c r="I258" s="11" t="s">
        <v>348</v>
      </c>
      <c r="J258" s="10" t="s">
        <v>24</v>
      </c>
      <c r="K258" s="12" t="s">
        <v>66</v>
      </c>
      <c r="L258" s="54">
        <f t="shared" si="100"/>
        <v>0</v>
      </c>
    </row>
    <row r="259" spans="1:12" hidden="1" x14ac:dyDescent="0.2">
      <c r="A259" s="9" t="s">
        <v>343</v>
      </c>
      <c r="B259" s="10" t="s">
        <v>349</v>
      </c>
      <c r="C259" s="10" t="s">
        <v>363</v>
      </c>
      <c r="D259" s="6" t="s">
        <v>622</v>
      </c>
      <c r="E259" s="6" t="s">
        <v>621</v>
      </c>
      <c r="F259" s="10" t="s">
        <v>369</v>
      </c>
      <c r="G259" s="48">
        <v>-4220</v>
      </c>
      <c r="H259" s="36">
        <v>45658</v>
      </c>
      <c r="I259" s="11"/>
      <c r="J259" s="10" t="s">
        <v>24</v>
      </c>
      <c r="K259" s="12" t="s">
        <v>66</v>
      </c>
      <c r="L259" s="54">
        <f t="shared" ref="L259:L262" si="101">(ISNUMBER(G259))-1</f>
        <v>0</v>
      </c>
    </row>
    <row r="260" spans="1:12" hidden="1" x14ac:dyDescent="0.2">
      <c r="A260" s="5" t="s">
        <v>263</v>
      </c>
      <c r="B260" s="6" t="s">
        <v>301</v>
      </c>
      <c r="C260" s="6" t="s">
        <v>301</v>
      </c>
      <c r="D260" s="6" t="s">
        <v>622</v>
      </c>
      <c r="E260" s="6" t="s">
        <v>621</v>
      </c>
      <c r="F260" s="6" t="s">
        <v>331</v>
      </c>
      <c r="G260" s="49">
        <v>-4252.05</v>
      </c>
      <c r="H260" s="35">
        <v>45658</v>
      </c>
      <c r="I260" s="7"/>
      <c r="J260" s="6" t="s">
        <v>24</v>
      </c>
      <c r="K260" s="8" t="s">
        <v>266</v>
      </c>
      <c r="L260" s="54">
        <f t="shared" si="101"/>
        <v>0</v>
      </c>
    </row>
    <row r="261" spans="1:12" hidden="1" x14ac:dyDescent="0.2">
      <c r="A261" s="5" t="s">
        <v>343</v>
      </c>
      <c r="B261" s="6" t="s">
        <v>349</v>
      </c>
      <c r="C261" s="6" t="s">
        <v>365</v>
      </c>
      <c r="D261" s="6" t="s">
        <v>622</v>
      </c>
      <c r="E261" s="6" t="s">
        <v>621</v>
      </c>
      <c r="F261" s="6" t="s">
        <v>566</v>
      </c>
      <c r="G261" s="49">
        <v>-4690.6266666666661</v>
      </c>
      <c r="H261" s="35">
        <v>45658</v>
      </c>
      <c r="I261" s="7"/>
      <c r="J261" s="6" t="s">
        <v>24</v>
      </c>
      <c r="K261" s="8" t="s">
        <v>66</v>
      </c>
      <c r="L261" s="54">
        <f t="shared" si="101"/>
        <v>0</v>
      </c>
    </row>
    <row r="262" spans="1:12" hidden="1" x14ac:dyDescent="0.2">
      <c r="A262" s="5" t="s">
        <v>81</v>
      </c>
      <c r="B262" s="6" t="s">
        <v>168</v>
      </c>
      <c r="C262" s="6" t="s">
        <v>111</v>
      </c>
      <c r="D262" s="6" t="s">
        <v>622</v>
      </c>
      <c r="E262" s="6" t="s">
        <v>621</v>
      </c>
      <c r="F262" s="6" t="s">
        <v>200</v>
      </c>
      <c r="G262" s="49">
        <v>-4736.09</v>
      </c>
      <c r="H262" s="35">
        <v>45658</v>
      </c>
      <c r="I262" s="7"/>
      <c r="J262" s="6" t="s">
        <v>24</v>
      </c>
      <c r="K262" s="8" t="s">
        <v>66</v>
      </c>
      <c r="L262" s="54">
        <f t="shared" si="101"/>
        <v>0</v>
      </c>
    </row>
    <row r="263" spans="1:12" hidden="1" x14ac:dyDescent="0.2">
      <c r="A263" s="5" t="s">
        <v>194</v>
      </c>
      <c r="B263" s="10" t="e">
        <f>Data_BI!#REF!</f>
        <v>#REF!</v>
      </c>
      <c r="C263" s="10" t="e">
        <f>Data_BI!#REF!</f>
        <v>#REF!</v>
      </c>
      <c r="D263" s="6" t="s">
        <v>622</v>
      </c>
      <c r="E263" s="6" t="s">
        <v>621</v>
      </c>
      <c r="F263" s="6" t="s">
        <v>341</v>
      </c>
      <c r="G263" s="49">
        <v>-5536.52</v>
      </c>
      <c r="H263" s="35">
        <v>45658</v>
      </c>
      <c r="I263" s="7" t="s">
        <v>342</v>
      </c>
      <c r="J263" s="6" t="s">
        <v>24</v>
      </c>
      <c r="K263" s="8" t="s">
        <v>66</v>
      </c>
      <c r="L263" s="54">
        <f t="shared" ref="L263" si="102">(ISNUMBER(G263))-1</f>
        <v>0</v>
      </c>
    </row>
    <row r="264" spans="1:12" hidden="1" x14ac:dyDescent="0.2">
      <c r="A264" s="5" t="s">
        <v>343</v>
      </c>
      <c r="B264" s="6" t="s">
        <v>349</v>
      </c>
      <c r="C264" s="6" t="s">
        <v>356</v>
      </c>
      <c r="D264" s="6" t="s">
        <v>622</v>
      </c>
      <c r="E264" s="6" t="s">
        <v>621</v>
      </c>
      <c r="F264" s="6" t="s">
        <v>361</v>
      </c>
      <c r="G264" s="49">
        <v>-6000</v>
      </c>
      <c r="H264" s="35">
        <v>45658</v>
      </c>
      <c r="I264" s="7"/>
      <c r="J264" s="6" t="s">
        <v>24</v>
      </c>
      <c r="K264" s="8" t="s">
        <v>66</v>
      </c>
      <c r="L264" s="54">
        <f t="shared" ref="L264" si="103">(ISNUMBER(G264))-1</f>
        <v>0</v>
      </c>
    </row>
    <row r="265" spans="1:12" hidden="1" x14ac:dyDescent="0.2">
      <c r="A265" s="5" t="s">
        <v>81</v>
      </c>
      <c r="B265" s="6" t="s">
        <v>168</v>
      </c>
      <c r="C265" s="6" t="s">
        <v>186</v>
      </c>
      <c r="D265" s="6" t="s">
        <v>622</v>
      </c>
      <c r="E265" s="6" t="s">
        <v>621</v>
      </c>
      <c r="F265" s="6" t="s">
        <v>192</v>
      </c>
      <c r="G265" s="49">
        <v>-6714</v>
      </c>
      <c r="H265" s="35">
        <v>45658</v>
      </c>
      <c r="I265" s="7"/>
      <c r="J265" s="6" t="s">
        <v>24</v>
      </c>
      <c r="K265" s="8" t="s">
        <v>66</v>
      </c>
      <c r="L265" s="54">
        <f t="shared" ref="L265:L267" si="104">(ISNUMBER(G265))-1</f>
        <v>0</v>
      </c>
    </row>
    <row r="266" spans="1:12" hidden="1" x14ac:dyDescent="0.2">
      <c r="A266" s="5" t="s">
        <v>343</v>
      </c>
      <c r="B266" s="6" t="s">
        <v>349</v>
      </c>
      <c r="C266" s="6" t="s">
        <v>352</v>
      </c>
      <c r="D266" s="6" t="s">
        <v>622</v>
      </c>
      <c r="E266" s="6" t="s">
        <v>621</v>
      </c>
      <c r="F266" s="6" t="s">
        <v>403</v>
      </c>
      <c r="G266" s="49">
        <v>-6731.03</v>
      </c>
      <c r="H266" s="35">
        <v>45658</v>
      </c>
      <c r="I266" s="7" t="s">
        <v>404</v>
      </c>
      <c r="J266" s="6" t="s">
        <v>24</v>
      </c>
      <c r="K266" s="8" t="s">
        <v>66</v>
      </c>
      <c r="L266" s="54">
        <f t="shared" si="104"/>
        <v>0</v>
      </c>
    </row>
    <row r="267" spans="1:12" hidden="1" x14ac:dyDescent="0.2">
      <c r="A267" s="9" t="s">
        <v>343</v>
      </c>
      <c r="B267" s="10" t="s">
        <v>349</v>
      </c>
      <c r="C267" s="10" t="s">
        <v>352</v>
      </c>
      <c r="D267" s="6" t="s">
        <v>622</v>
      </c>
      <c r="E267" s="6" t="s">
        <v>621</v>
      </c>
      <c r="F267" s="10" t="s">
        <v>402</v>
      </c>
      <c r="G267" s="48">
        <v>-6977.48</v>
      </c>
      <c r="H267" s="36">
        <v>45658</v>
      </c>
      <c r="I267" s="11"/>
      <c r="J267" s="10" t="s">
        <v>24</v>
      </c>
      <c r="K267" s="12" t="s">
        <v>66</v>
      </c>
      <c r="L267" s="54">
        <f t="shared" si="104"/>
        <v>0</v>
      </c>
    </row>
    <row r="268" spans="1:12" hidden="1" x14ac:dyDescent="0.2">
      <c r="A268" s="5" t="s">
        <v>343</v>
      </c>
      <c r="B268" s="6" t="s">
        <v>411</v>
      </c>
      <c r="C268" s="6" t="e">
        <f>Data_BI!#REF!</f>
        <v>#REF!</v>
      </c>
      <c r="D268" s="6" t="s">
        <v>622</v>
      </c>
      <c r="E268" s="6" t="s">
        <v>621</v>
      </c>
      <c r="F268" s="6" t="s">
        <v>437</v>
      </c>
      <c r="G268" s="49">
        <v>-7600</v>
      </c>
      <c r="H268" s="35">
        <v>45658</v>
      </c>
      <c r="I268" s="7"/>
      <c r="J268" s="6" t="s">
        <v>24</v>
      </c>
      <c r="K268" s="8" t="s">
        <v>66</v>
      </c>
      <c r="L268" s="54">
        <f t="shared" ref="L268:L269" si="105">(ISNUMBER(G268))-1</f>
        <v>0</v>
      </c>
    </row>
    <row r="269" spans="1:12" hidden="1" x14ac:dyDescent="0.2">
      <c r="A269" s="9" t="s">
        <v>343</v>
      </c>
      <c r="B269" s="10" t="s">
        <v>349</v>
      </c>
      <c r="C269" s="10" t="s">
        <v>352</v>
      </c>
      <c r="D269" s="6" t="s">
        <v>622</v>
      </c>
      <c r="E269" s="6" t="s">
        <v>621</v>
      </c>
      <c r="F269" s="10" t="s">
        <v>408</v>
      </c>
      <c r="G269" s="48">
        <v>-7799.1633333333302</v>
      </c>
      <c r="H269" s="36">
        <v>45658</v>
      </c>
      <c r="I269" s="11"/>
      <c r="J269" s="10" t="s">
        <v>24</v>
      </c>
      <c r="K269" s="12" t="s">
        <v>66</v>
      </c>
      <c r="L269" s="54">
        <f t="shared" si="105"/>
        <v>0</v>
      </c>
    </row>
    <row r="270" spans="1:12" hidden="1" x14ac:dyDescent="0.2">
      <c r="A270" s="5" t="s">
        <v>343</v>
      </c>
      <c r="B270" s="6" t="s">
        <v>349</v>
      </c>
      <c r="C270" s="6" t="s">
        <v>365</v>
      </c>
      <c r="D270" s="6" t="s">
        <v>622</v>
      </c>
      <c r="E270" s="6" t="s">
        <v>621</v>
      </c>
      <c r="F270" s="6" t="s">
        <v>550</v>
      </c>
      <c r="G270" s="49">
        <v>-9000</v>
      </c>
      <c r="H270" s="35">
        <v>45658</v>
      </c>
      <c r="I270" s="7"/>
      <c r="J270" s="6" t="s">
        <v>24</v>
      </c>
      <c r="K270" s="8" t="s">
        <v>66</v>
      </c>
      <c r="L270" s="54">
        <f t="shared" ref="L270:L271" si="106">(ISNUMBER(G270))-1</f>
        <v>0</v>
      </c>
    </row>
    <row r="271" spans="1:12" hidden="1" x14ac:dyDescent="0.2">
      <c r="A271" s="9" t="s">
        <v>263</v>
      </c>
      <c r="B271" s="10" t="s">
        <v>301</v>
      </c>
      <c r="C271" s="10" t="s">
        <v>301</v>
      </c>
      <c r="D271" s="10" t="s">
        <v>30</v>
      </c>
      <c r="E271" s="6" t="s">
        <v>621</v>
      </c>
      <c r="F271" s="10" t="s">
        <v>330</v>
      </c>
      <c r="G271" s="48">
        <v>-9347.07</v>
      </c>
      <c r="H271" s="36">
        <v>45658</v>
      </c>
      <c r="I271" s="11"/>
      <c r="J271" s="10" t="s">
        <v>24</v>
      </c>
      <c r="K271" s="8" t="s">
        <v>266</v>
      </c>
      <c r="L271" s="54">
        <f t="shared" si="106"/>
        <v>0</v>
      </c>
    </row>
    <row r="272" spans="1:12" hidden="1" x14ac:dyDescent="0.2">
      <c r="A272" s="9" t="s">
        <v>343</v>
      </c>
      <c r="B272" s="10" t="s">
        <v>349</v>
      </c>
      <c r="C272" s="10" t="s">
        <v>365</v>
      </c>
      <c r="D272" s="6" t="s">
        <v>622</v>
      </c>
      <c r="E272" s="6" t="s">
        <v>621</v>
      </c>
      <c r="F272" s="10" t="s">
        <v>571</v>
      </c>
      <c r="G272" s="48">
        <v>-9349.6666666666661</v>
      </c>
      <c r="H272" s="36">
        <v>45658</v>
      </c>
      <c r="I272" s="11"/>
      <c r="J272" s="10" t="s">
        <v>24</v>
      </c>
      <c r="K272" s="12" t="s">
        <v>66</v>
      </c>
      <c r="L272" s="54">
        <f t="shared" ref="L272:L275" si="107">(ISNUMBER(G272))-1</f>
        <v>0</v>
      </c>
    </row>
    <row r="273" spans="1:12" hidden="1" x14ac:dyDescent="0.2">
      <c r="A273" s="5" t="s">
        <v>263</v>
      </c>
      <c r="B273" s="6" t="s">
        <v>301</v>
      </c>
      <c r="C273" s="6" t="str">
        <f>Data_BI!$B14</f>
        <v>Процентный доход</v>
      </c>
      <c r="D273" s="6" t="s">
        <v>622</v>
      </c>
      <c r="E273" s="6" t="s">
        <v>621</v>
      </c>
      <c r="F273" s="6" t="s">
        <v>307</v>
      </c>
      <c r="G273" s="49">
        <v>-9392</v>
      </c>
      <c r="H273" s="35">
        <v>45658</v>
      </c>
      <c r="I273" s="7" t="s">
        <v>268</v>
      </c>
      <c r="J273" s="6" t="s">
        <v>24</v>
      </c>
      <c r="K273" s="8" t="s">
        <v>266</v>
      </c>
      <c r="L273" s="54">
        <f t="shared" si="107"/>
        <v>0</v>
      </c>
    </row>
    <row r="274" spans="1:12" hidden="1" x14ac:dyDescent="0.2">
      <c r="A274" s="5" t="s">
        <v>343</v>
      </c>
      <c r="B274" s="6" t="s">
        <v>349</v>
      </c>
      <c r="C274" s="6" t="s">
        <v>352</v>
      </c>
      <c r="D274" s="6" t="s">
        <v>622</v>
      </c>
      <c r="E274" s="6" t="s">
        <v>621</v>
      </c>
      <c r="F274" s="6" t="s">
        <v>401</v>
      </c>
      <c r="G274" s="49">
        <v>-9600</v>
      </c>
      <c r="H274" s="35">
        <v>45658</v>
      </c>
      <c r="I274" s="7"/>
      <c r="J274" s="6" t="s">
        <v>24</v>
      </c>
      <c r="K274" s="8" t="s">
        <v>66</v>
      </c>
      <c r="L274" s="54">
        <f t="shared" si="107"/>
        <v>0</v>
      </c>
    </row>
    <row r="275" spans="1:12" hidden="1" x14ac:dyDescent="0.2">
      <c r="A275" s="9" t="s">
        <v>263</v>
      </c>
      <c r="B275" s="10" t="s">
        <v>301</v>
      </c>
      <c r="C275" s="10" t="e">
        <f>Data_BI!#REF!</f>
        <v>#REF!</v>
      </c>
      <c r="D275" s="10" t="s">
        <v>30</v>
      </c>
      <c r="E275" s="6" t="s">
        <v>621</v>
      </c>
      <c r="F275" s="10" t="s">
        <v>329</v>
      </c>
      <c r="G275" s="48">
        <v>-10155.11</v>
      </c>
      <c r="H275" s="36">
        <v>45658</v>
      </c>
      <c r="I275" s="11" t="s">
        <v>268</v>
      </c>
      <c r="J275" s="10" t="s">
        <v>24</v>
      </c>
      <c r="K275" s="8" t="s">
        <v>266</v>
      </c>
      <c r="L275" s="54">
        <f t="shared" si="107"/>
        <v>0</v>
      </c>
    </row>
    <row r="276" spans="1:12" hidden="1" x14ac:dyDescent="0.2">
      <c r="A276" s="5" t="s">
        <v>263</v>
      </c>
      <c r="B276" s="6" t="s">
        <v>301</v>
      </c>
      <c r="C276" s="6" t="s">
        <v>301</v>
      </c>
      <c r="D276" s="6" t="s">
        <v>30</v>
      </c>
      <c r="E276" s="6" t="s">
        <v>621</v>
      </c>
      <c r="F276" s="6" t="s">
        <v>328</v>
      </c>
      <c r="G276" s="49">
        <v>-10794.23</v>
      </c>
      <c r="H276" s="35">
        <v>45658</v>
      </c>
      <c r="I276" s="7"/>
      <c r="J276" s="6" t="s">
        <v>24</v>
      </c>
      <c r="K276" s="8" t="s">
        <v>266</v>
      </c>
      <c r="L276" s="54">
        <f t="shared" ref="L276:L277" si="108">(ISNUMBER(G276))-1</f>
        <v>0</v>
      </c>
    </row>
    <row r="277" spans="1:12" hidden="1" x14ac:dyDescent="0.2">
      <c r="A277" s="9" t="s">
        <v>343</v>
      </c>
      <c r="B277" s="10" t="s">
        <v>349</v>
      </c>
      <c r="C277" s="10" t="s">
        <v>352</v>
      </c>
      <c r="D277" s="6" t="s">
        <v>622</v>
      </c>
      <c r="E277" s="6" t="s">
        <v>621</v>
      </c>
      <c r="F277" s="10" t="s">
        <v>400</v>
      </c>
      <c r="G277" s="48">
        <v>-11511.1</v>
      </c>
      <c r="H277" s="36">
        <v>45658</v>
      </c>
      <c r="I277" s="11"/>
      <c r="J277" s="10" t="s">
        <v>24</v>
      </c>
      <c r="K277" s="12" t="s">
        <v>66</v>
      </c>
      <c r="L277" s="54">
        <f t="shared" si="108"/>
        <v>0</v>
      </c>
    </row>
    <row r="278" spans="1:12" hidden="1" x14ac:dyDescent="0.2">
      <c r="A278" s="5" t="s">
        <v>343</v>
      </c>
      <c r="B278" s="6" t="s">
        <v>349</v>
      </c>
      <c r="C278" s="6" t="s">
        <v>352</v>
      </c>
      <c r="D278" s="6" t="s">
        <v>622</v>
      </c>
      <c r="E278" s="6" t="s">
        <v>621</v>
      </c>
      <c r="F278" s="6" t="s">
        <v>399</v>
      </c>
      <c r="G278" s="49">
        <v>-13280</v>
      </c>
      <c r="H278" s="35">
        <v>45658</v>
      </c>
      <c r="I278" s="7"/>
      <c r="J278" s="6" t="s">
        <v>24</v>
      </c>
      <c r="K278" s="8" t="s">
        <v>66</v>
      </c>
      <c r="L278" s="54">
        <f t="shared" ref="L278" si="109">(ISNUMBER(G278))-1</f>
        <v>0</v>
      </c>
    </row>
    <row r="279" spans="1:12" hidden="1" x14ac:dyDescent="0.2">
      <c r="A279" s="9" t="s">
        <v>343</v>
      </c>
      <c r="B279" s="10" t="s">
        <v>349</v>
      </c>
      <c r="C279" s="10" t="s">
        <v>352</v>
      </c>
      <c r="D279" s="6" t="s">
        <v>622</v>
      </c>
      <c r="E279" s="6" t="s">
        <v>621</v>
      </c>
      <c r="F279" s="10" t="s">
        <v>398</v>
      </c>
      <c r="G279" s="48">
        <v>-14200</v>
      </c>
      <c r="H279" s="36">
        <v>45658</v>
      </c>
      <c r="I279" s="11"/>
      <c r="J279" s="10" t="s">
        <v>24</v>
      </c>
      <c r="K279" s="12" t="s">
        <v>66</v>
      </c>
      <c r="L279" s="54">
        <f t="shared" ref="L279:L280" si="110">(ISNUMBER(G279))-1</f>
        <v>0</v>
      </c>
    </row>
    <row r="280" spans="1:12" hidden="1" x14ac:dyDescent="0.2">
      <c r="A280" s="9" t="s">
        <v>201</v>
      </c>
      <c r="B280" s="10" t="s">
        <v>202</v>
      </c>
      <c r="C280" s="10" t="s">
        <v>213</v>
      </c>
      <c r="D280" s="6" t="s">
        <v>622</v>
      </c>
      <c r="E280" s="6" t="s">
        <v>210</v>
      </c>
      <c r="F280" s="10"/>
      <c r="G280" s="48">
        <v>-14911.51</v>
      </c>
      <c r="H280" s="36">
        <v>45658</v>
      </c>
      <c r="I280" s="11"/>
      <c r="J280" s="10" t="s">
        <v>24</v>
      </c>
      <c r="K280" s="12" t="s">
        <v>25</v>
      </c>
      <c r="L280" s="54">
        <f t="shared" si="110"/>
        <v>0</v>
      </c>
    </row>
    <row r="281" spans="1:12" hidden="1" x14ac:dyDescent="0.2">
      <c r="A281" s="9" t="s">
        <v>343</v>
      </c>
      <c r="B281" s="10" t="s">
        <v>349</v>
      </c>
      <c r="C281" s="10" t="s">
        <v>365</v>
      </c>
      <c r="D281" s="6" t="s">
        <v>622</v>
      </c>
      <c r="E281" s="6" t="s">
        <v>621</v>
      </c>
      <c r="F281" s="10" t="s">
        <v>587</v>
      </c>
      <c r="G281" s="48">
        <v>-16311.5</v>
      </c>
      <c r="H281" s="36">
        <v>45658</v>
      </c>
      <c r="I281" s="11"/>
      <c r="J281" s="10" t="s">
        <v>24</v>
      </c>
      <c r="K281" s="12" t="s">
        <v>66</v>
      </c>
      <c r="L281" s="54">
        <f t="shared" ref="L281:L283" si="111">(ISNUMBER(G281))-1</f>
        <v>0</v>
      </c>
    </row>
    <row r="282" spans="1:12" hidden="1" x14ac:dyDescent="0.2">
      <c r="A282" s="9" t="s">
        <v>343</v>
      </c>
      <c r="B282" s="10" t="s">
        <v>411</v>
      </c>
      <c r="C282" s="10" t="e">
        <f>Data_BI!#REF!</f>
        <v>#REF!</v>
      </c>
      <c r="D282" s="6" t="s">
        <v>622</v>
      </c>
      <c r="E282" s="6" t="s">
        <v>621</v>
      </c>
      <c r="F282" s="10" t="s">
        <v>436</v>
      </c>
      <c r="G282" s="48">
        <v>-16522.449999999899</v>
      </c>
      <c r="H282" s="36">
        <v>45658</v>
      </c>
      <c r="I282" s="11" t="s">
        <v>421</v>
      </c>
      <c r="J282" s="10" t="s">
        <v>24</v>
      </c>
      <c r="K282" s="12" t="s">
        <v>66</v>
      </c>
      <c r="L282" s="54">
        <f t="shared" si="111"/>
        <v>0</v>
      </c>
    </row>
    <row r="283" spans="1:12" hidden="1" x14ac:dyDescent="0.2">
      <c r="A283" s="9" t="s">
        <v>343</v>
      </c>
      <c r="B283" s="10" t="s">
        <v>349</v>
      </c>
      <c r="C283" s="10" t="s">
        <v>487</v>
      </c>
      <c r="D283" s="6" t="s">
        <v>622</v>
      </c>
      <c r="E283" s="6" t="s">
        <v>621</v>
      </c>
      <c r="F283" s="10" t="s">
        <v>493</v>
      </c>
      <c r="G283" s="48">
        <v>-16729.189999999999</v>
      </c>
      <c r="H283" s="36">
        <v>45658</v>
      </c>
      <c r="I283" s="11"/>
      <c r="J283" s="10" t="s">
        <v>24</v>
      </c>
      <c r="K283" s="12" t="s">
        <v>66</v>
      </c>
      <c r="L283" s="54">
        <f t="shared" si="111"/>
        <v>0</v>
      </c>
    </row>
    <row r="284" spans="1:12" hidden="1" x14ac:dyDescent="0.2">
      <c r="A284" s="5" t="s">
        <v>15</v>
      </c>
      <c r="B284" s="6" t="s">
        <v>63</v>
      </c>
      <c r="C284" s="6" t="s">
        <v>27</v>
      </c>
      <c r="D284" s="6" t="s">
        <v>38</v>
      </c>
      <c r="E284" s="6" t="s">
        <v>621</v>
      </c>
      <c r="F284" s="6" t="s">
        <v>68</v>
      </c>
      <c r="G284" s="49">
        <v>-18703.52</v>
      </c>
      <c r="H284" s="35">
        <v>45658</v>
      </c>
      <c r="I284" s="7"/>
      <c r="J284" s="6" t="s">
        <v>24</v>
      </c>
      <c r="K284" s="8" t="s">
        <v>66</v>
      </c>
      <c r="L284" s="54">
        <f t="shared" ref="L284:L286" si="112">(ISNUMBER(G284))-1</f>
        <v>0</v>
      </c>
    </row>
    <row r="285" spans="1:12" hidden="1" x14ac:dyDescent="0.2">
      <c r="A285" s="5" t="s">
        <v>343</v>
      </c>
      <c r="B285" s="6" t="s">
        <v>349</v>
      </c>
      <c r="C285" s="6" t="s">
        <v>352</v>
      </c>
      <c r="D285" s="6" t="s">
        <v>622</v>
      </c>
      <c r="E285" s="6" t="s">
        <v>621</v>
      </c>
      <c r="F285" s="6" t="s">
        <v>397</v>
      </c>
      <c r="G285" s="49">
        <v>-19955</v>
      </c>
      <c r="H285" s="35">
        <v>45658</v>
      </c>
      <c r="I285" s="7"/>
      <c r="J285" s="6" t="s">
        <v>24</v>
      </c>
      <c r="K285" s="8" t="s">
        <v>66</v>
      </c>
      <c r="L285" s="54">
        <f t="shared" si="112"/>
        <v>0</v>
      </c>
    </row>
    <row r="286" spans="1:12" hidden="1" x14ac:dyDescent="0.2">
      <c r="A286" s="5" t="s">
        <v>343</v>
      </c>
      <c r="B286" s="6" t="s">
        <v>411</v>
      </c>
      <c r="C286" s="6" t="e">
        <f>Data_BI!#REF!</f>
        <v>#REF!</v>
      </c>
      <c r="D286" s="6" t="s">
        <v>622</v>
      </c>
      <c r="E286" s="6" t="s">
        <v>621</v>
      </c>
      <c r="F286" s="6" t="s">
        <v>434</v>
      </c>
      <c r="G286" s="49">
        <v>-20000</v>
      </c>
      <c r="H286" s="35">
        <v>45658</v>
      </c>
      <c r="I286" s="7" t="s">
        <v>435</v>
      </c>
      <c r="J286" s="6" t="s">
        <v>24</v>
      </c>
      <c r="K286" s="8" t="s">
        <v>66</v>
      </c>
      <c r="L286" s="54">
        <f t="shared" si="112"/>
        <v>0</v>
      </c>
    </row>
    <row r="287" spans="1:12" hidden="1" x14ac:dyDescent="0.2">
      <c r="A287" s="9" t="s">
        <v>343</v>
      </c>
      <c r="B287" s="10" t="s">
        <v>411</v>
      </c>
      <c r="C287" s="10" t="str">
        <f>Data_BI!$B22</f>
        <v>Восстановление резервов</v>
      </c>
      <c r="D287" s="6" t="s">
        <v>622</v>
      </c>
      <c r="E287" s="6" t="s">
        <v>621</v>
      </c>
      <c r="F287" s="10" t="s">
        <v>433</v>
      </c>
      <c r="G287" s="48">
        <v>-21900</v>
      </c>
      <c r="H287" s="36">
        <v>45658</v>
      </c>
      <c r="I287" s="11"/>
      <c r="J287" s="10" t="s">
        <v>24</v>
      </c>
      <c r="K287" s="12" t="s">
        <v>66</v>
      </c>
      <c r="L287" s="54">
        <f t="shared" ref="L287:L289" si="113">(ISNUMBER(G287))-1</f>
        <v>0</v>
      </c>
    </row>
    <row r="288" spans="1:12" hidden="1" x14ac:dyDescent="0.2">
      <c r="A288" s="9" t="s">
        <v>343</v>
      </c>
      <c r="B288" s="10" t="s">
        <v>349</v>
      </c>
      <c r="C288" s="10" t="s">
        <v>352</v>
      </c>
      <c r="D288" s="6" t="s">
        <v>622</v>
      </c>
      <c r="E288" s="6" t="s">
        <v>621</v>
      </c>
      <c r="F288" s="10" t="s">
        <v>481</v>
      </c>
      <c r="G288" s="48">
        <v>-22000</v>
      </c>
      <c r="H288" s="36">
        <v>45658</v>
      </c>
      <c r="I288" s="11" t="s">
        <v>407</v>
      </c>
      <c r="J288" s="10" t="s">
        <v>24</v>
      </c>
      <c r="K288" s="12" t="s">
        <v>66</v>
      </c>
      <c r="L288" s="54">
        <f t="shared" si="113"/>
        <v>0</v>
      </c>
    </row>
    <row r="289" spans="1:12" hidden="1" x14ac:dyDescent="0.2">
      <c r="A289" s="5" t="s">
        <v>343</v>
      </c>
      <c r="B289" s="6" t="s">
        <v>349</v>
      </c>
      <c r="C289" s="6" t="s">
        <v>352</v>
      </c>
      <c r="D289" s="6" t="s">
        <v>622</v>
      </c>
      <c r="E289" s="6" t="s">
        <v>621</v>
      </c>
      <c r="F289" s="6" t="s">
        <v>482</v>
      </c>
      <c r="G289" s="49">
        <v>-23128.81</v>
      </c>
      <c r="H289" s="35">
        <v>45658</v>
      </c>
      <c r="I289" s="7"/>
      <c r="J289" s="6" t="s">
        <v>24</v>
      </c>
      <c r="K289" s="8" t="s">
        <v>66</v>
      </c>
      <c r="L289" s="54">
        <f t="shared" si="113"/>
        <v>0</v>
      </c>
    </row>
    <row r="290" spans="1:12" hidden="1" x14ac:dyDescent="0.2">
      <c r="A290" s="5" t="s">
        <v>343</v>
      </c>
      <c r="B290" s="6" t="s">
        <v>349</v>
      </c>
      <c r="C290" s="6" t="s">
        <v>352</v>
      </c>
      <c r="D290" s="6" t="s">
        <v>622</v>
      </c>
      <c r="E290" s="6" t="s">
        <v>621</v>
      </c>
      <c r="F290" s="6" t="s">
        <v>394</v>
      </c>
      <c r="G290" s="49">
        <v>-26104.47</v>
      </c>
      <c r="H290" s="35">
        <v>45658</v>
      </c>
      <c r="I290" s="7"/>
      <c r="J290" s="6" t="s">
        <v>24</v>
      </c>
      <c r="K290" s="8" t="s">
        <v>66</v>
      </c>
      <c r="L290" s="54">
        <f t="shared" ref="L290" si="114">(ISNUMBER(G290))-1</f>
        <v>0</v>
      </c>
    </row>
    <row r="291" spans="1:12" hidden="1" x14ac:dyDescent="0.2">
      <c r="A291" s="9" t="s">
        <v>263</v>
      </c>
      <c r="B291" s="10" t="s">
        <v>301</v>
      </c>
      <c r="C291" s="10" t="s">
        <v>301</v>
      </c>
      <c r="D291" s="6" t="s">
        <v>622</v>
      </c>
      <c r="E291" s="6" t="s">
        <v>621</v>
      </c>
      <c r="F291" s="10" t="s">
        <v>327</v>
      </c>
      <c r="G291" s="48">
        <v>-27002.36</v>
      </c>
      <c r="H291" s="36">
        <v>45658</v>
      </c>
      <c r="I291" s="11"/>
      <c r="J291" s="10" t="s">
        <v>24</v>
      </c>
      <c r="K291" s="8" t="s">
        <v>266</v>
      </c>
      <c r="L291" s="54">
        <f t="shared" ref="L291:L295" si="115">(ISNUMBER(G291))-1</f>
        <v>0</v>
      </c>
    </row>
    <row r="292" spans="1:12" hidden="1" x14ac:dyDescent="0.2">
      <c r="A292" s="5" t="s">
        <v>263</v>
      </c>
      <c r="B292" s="6" t="s">
        <v>301</v>
      </c>
      <c r="C292" s="6" t="s">
        <v>301</v>
      </c>
      <c r="D292" s="6" t="s">
        <v>30</v>
      </c>
      <c r="E292" s="6" t="s">
        <v>621</v>
      </c>
      <c r="F292" s="6" t="s">
        <v>326</v>
      </c>
      <c r="G292" s="49">
        <v>-27481.54</v>
      </c>
      <c r="H292" s="35">
        <v>45658</v>
      </c>
      <c r="I292" s="7"/>
      <c r="J292" s="6" t="s">
        <v>24</v>
      </c>
      <c r="K292" s="8" t="s">
        <v>266</v>
      </c>
      <c r="L292" s="54">
        <f t="shared" si="115"/>
        <v>0</v>
      </c>
    </row>
    <row r="293" spans="1:12" hidden="1" x14ac:dyDescent="0.2">
      <c r="A293" s="9" t="s">
        <v>343</v>
      </c>
      <c r="B293" s="10" t="s">
        <v>349</v>
      </c>
      <c r="C293" s="10" t="s">
        <v>352</v>
      </c>
      <c r="D293" s="6" t="s">
        <v>622</v>
      </c>
      <c r="E293" s="6" t="s">
        <v>621</v>
      </c>
      <c r="F293" s="10" t="s">
        <v>395</v>
      </c>
      <c r="G293" s="48">
        <v>-27922.007999999998</v>
      </c>
      <c r="H293" s="36">
        <v>45658</v>
      </c>
      <c r="I293" s="11"/>
      <c r="J293" s="10" t="s">
        <v>24</v>
      </c>
      <c r="K293" s="12" t="s">
        <v>66</v>
      </c>
      <c r="L293" s="54">
        <f t="shared" si="115"/>
        <v>0</v>
      </c>
    </row>
    <row r="294" spans="1:12" hidden="1" x14ac:dyDescent="0.2">
      <c r="A294" s="5" t="s">
        <v>343</v>
      </c>
      <c r="B294" s="6" t="s">
        <v>349</v>
      </c>
      <c r="C294" s="6" t="s">
        <v>487</v>
      </c>
      <c r="D294" s="6" t="s">
        <v>622</v>
      </c>
      <c r="E294" s="6" t="s">
        <v>621</v>
      </c>
      <c r="F294" s="6" t="s">
        <v>496</v>
      </c>
      <c r="G294" s="49">
        <v>-29494</v>
      </c>
      <c r="H294" s="35">
        <v>45658</v>
      </c>
      <c r="I294" s="7"/>
      <c r="J294" s="6" t="s">
        <v>24</v>
      </c>
      <c r="K294" s="8" t="s">
        <v>66</v>
      </c>
      <c r="L294" s="54">
        <f t="shared" si="115"/>
        <v>0</v>
      </c>
    </row>
    <row r="295" spans="1:12" hidden="1" x14ac:dyDescent="0.2">
      <c r="A295" s="9" t="s">
        <v>201</v>
      </c>
      <c r="B295" s="10" t="s">
        <v>202</v>
      </c>
      <c r="C295" s="10" t="s">
        <v>213</v>
      </c>
      <c r="D295" s="6" t="s">
        <v>622</v>
      </c>
      <c r="E295" s="6" t="s">
        <v>211</v>
      </c>
      <c r="F295" s="10"/>
      <c r="G295" s="48">
        <v>-29704.26</v>
      </c>
      <c r="H295" s="36">
        <v>45658</v>
      </c>
      <c r="I295" s="11"/>
      <c r="J295" s="10" t="s">
        <v>24</v>
      </c>
      <c r="K295" s="12" t="s">
        <v>25</v>
      </c>
      <c r="L295" s="54">
        <f t="shared" si="115"/>
        <v>0</v>
      </c>
    </row>
    <row r="296" spans="1:12" hidden="1" x14ac:dyDescent="0.2">
      <c r="A296" s="5" t="s">
        <v>201</v>
      </c>
      <c r="B296" s="6" t="s">
        <v>202</v>
      </c>
      <c r="C296" s="6" t="s">
        <v>213</v>
      </c>
      <c r="D296" s="6" t="s">
        <v>622</v>
      </c>
      <c r="E296" s="6" t="s">
        <v>212</v>
      </c>
      <c r="F296" s="6"/>
      <c r="G296" s="49">
        <v>-31495.31</v>
      </c>
      <c r="H296" s="35">
        <v>45658</v>
      </c>
      <c r="I296" s="7"/>
      <c r="J296" s="6" t="s">
        <v>24</v>
      </c>
      <c r="K296" s="8" t="s">
        <v>25</v>
      </c>
      <c r="L296" s="54">
        <f t="shared" ref="L296:L297" si="116">(ISNUMBER(G296))-1</f>
        <v>0</v>
      </c>
    </row>
    <row r="297" spans="1:12" hidden="1" x14ac:dyDescent="0.2">
      <c r="A297" s="5" t="s">
        <v>343</v>
      </c>
      <c r="B297" s="6" t="s">
        <v>411</v>
      </c>
      <c r="C297" s="6" t="e">
        <f>Data_BI!#REF!</f>
        <v>#REF!</v>
      </c>
      <c r="D297" s="6" t="s">
        <v>622</v>
      </c>
      <c r="E297" s="6" t="s">
        <v>621</v>
      </c>
      <c r="F297" s="6" t="s">
        <v>432</v>
      </c>
      <c r="G297" s="49">
        <v>-32213</v>
      </c>
      <c r="H297" s="35">
        <v>45658</v>
      </c>
      <c r="I297" s="7" t="s">
        <v>416</v>
      </c>
      <c r="J297" s="6" t="s">
        <v>24</v>
      </c>
      <c r="K297" s="8" t="s">
        <v>66</v>
      </c>
      <c r="L297" s="54">
        <f t="shared" si="116"/>
        <v>0</v>
      </c>
    </row>
    <row r="298" spans="1:12" hidden="1" x14ac:dyDescent="0.2">
      <c r="A298" s="5" t="s">
        <v>201</v>
      </c>
      <c r="B298" s="6" t="s">
        <v>202</v>
      </c>
      <c r="C298" s="6" t="s">
        <v>213</v>
      </c>
      <c r="D298" s="6" t="s">
        <v>622</v>
      </c>
      <c r="E298" s="6" t="s">
        <v>206</v>
      </c>
      <c r="F298" s="6"/>
      <c r="G298" s="49">
        <v>-33411.309999999903</v>
      </c>
      <c r="H298" s="35">
        <v>45658</v>
      </c>
      <c r="I298" s="7"/>
      <c r="J298" s="6" t="s">
        <v>24</v>
      </c>
      <c r="K298" s="8" t="s">
        <v>25</v>
      </c>
      <c r="L298" s="54">
        <f t="shared" ref="L298:L300" si="117">(ISNUMBER(G298))-1</f>
        <v>0</v>
      </c>
    </row>
    <row r="299" spans="1:12" hidden="1" x14ac:dyDescent="0.2">
      <c r="A299" s="9" t="s">
        <v>343</v>
      </c>
      <c r="B299" s="10" t="s">
        <v>349</v>
      </c>
      <c r="C299" s="10" t="s">
        <v>365</v>
      </c>
      <c r="D299" s="6" t="s">
        <v>622</v>
      </c>
      <c r="E299" s="6" t="s">
        <v>621</v>
      </c>
      <c r="F299" s="10" t="s">
        <v>573</v>
      </c>
      <c r="G299" s="48">
        <v>-35033.4</v>
      </c>
      <c r="H299" s="36">
        <v>45658</v>
      </c>
      <c r="I299" s="11"/>
      <c r="J299" s="10" t="s">
        <v>24</v>
      </c>
      <c r="K299" s="12" t="s">
        <v>66</v>
      </c>
      <c r="L299" s="54">
        <f t="shared" si="117"/>
        <v>0</v>
      </c>
    </row>
    <row r="300" spans="1:12" hidden="1" x14ac:dyDescent="0.2">
      <c r="A300" s="9" t="s">
        <v>221</v>
      </c>
      <c r="B300" s="10" t="s">
        <v>235</v>
      </c>
      <c r="C300" s="10" t="s">
        <v>236</v>
      </c>
      <c r="D300" s="6" t="s">
        <v>622</v>
      </c>
      <c r="E300" s="6" t="s">
        <v>621</v>
      </c>
      <c r="F300" s="10" t="s">
        <v>238</v>
      </c>
      <c r="G300" s="48">
        <v>-36848.559999999998</v>
      </c>
      <c r="H300" s="36">
        <v>45658</v>
      </c>
      <c r="I300" s="11"/>
      <c r="J300" s="10" t="s">
        <v>24</v>
      </c>
      <c r="K300" s="12" t="s">
        <v>66</v>
      </c>
      <c r="L300" s="54">
        <f t="shared" si="117"/>
        <v>0</v>
      </c>
    </row>
    <row r="301" spans="1:12" hidden="1" x14ac:dyDescent="0.2">
      <c r="A301" s="9" t="s">
        <v>15</v>
      </c>
      <c r="B301" s="10" t="s">
        <v>63</v>
      </c>
      <c r="C301" s="10" t="s">
        <v>76</v>
      </c>
      <c r="D301" s="10" t="s">
        <v>38</v>
      </c>
      <c r="E301" s="6" t="s">
        <v>621</v>
      </c>
      <c r="F301" s="10" t="s">
        <v>80</v>
      </c>
      <c r="G301" s="48">
        <v>-37504.11</v>
      </c>
      <c r="H301" s="36">
        <v>45658</v>
      </c>
      <c r="I301" s="11"/>
      <c r="J301" s="10" t="s">
        <v>24</v>
      </c>
      <c r="K301" s="12" t="s">
        <v>66</v>
      </c>
      <c r="L301" s="54">
        <f t="shared" ref="L301" si="118">(ISNUMBER(G301))-1</f>
        <v>0</v>
      </c>
    </row>
    <row r="302" spans="1:12" hidden="1" x14ac:dyDescent="0.2">
      <c r="A302" s="9" t="s">
        <v>15</v>
      </c>
      <c r="B302" s="10" t="s">
        <v>63</v>
      </c>
      <c r="C302" s="10" t="s">
        <v>69</v>
      </c>
      <c r="D302" s="10" t="s">
        <v>30</v>
      </c>
      <c r="E302" s="6" t="s">
        <v>621</v>
      </c>
      <c r="F302" s="10" t="s">
        <v>74</v>
      </c>
      <c r="G302" s="48">
        <v>-48028.44</v>
      </c>
      <c r="H302" s="36">
        <v>45658</v>
      </c>
      <c r="I302" s="11"/>
      <c r="J302" s="10" t="s">
        <v>24</v>
      </c>
      <c r="K302" s="12" t="s">
        <v>66</v>
      </c>
      <c r="L302" s="54">
        <f t="shared" ref="L302" si="119">(ISNUMBER(G302))-1</f>
        <v>0</v>
      </c>
    </row>
    <row r="303" spans="1:12" hidden="1" x14ac:dyDescent="0.2">
      <c r="A303" s="5" t="s">
        <v>343</v>
      </c>
      <c r="B303" s="6" t="s">
        <v>349</v>
      </c>
      <c r="C303" s="6" t="s">
        <v>352</v>
      </c>
      <c r="D303" s="6" t="s">
        <v>622</v>
      </c>
      <c r="E303" s="6" t="s">
        <v>621</v>
      </c>
      <c r="F303" s="6" t="s">
        <v>480</v>
      </c>
      <c r="G303" s="49">
        <v>-48568.63</v>
      </c>
      <c r="H303" s="35">
        <v>45658</v>
      </c>
      <c r="I303" s="7"/>
      <c r="J303" s="6" t="s">
        <v>24</v>
      </c>
      <c r="K303" s="8" t="s">
        <v>66</v>
      </c>
      <c r="L303" s="54">
        <f t="shared" ref="L303:L304" si="120">(ISNUMBER(G303))-1</f>
        <v>0</v>
      </c>
    </row>
    <row r="304" spans="1:12" hidden="1" x14ac:dyDescent="0.2">
      <c r="A304" s="9" t="s">
        <v>263</v>
      </c>
      <c r="B304" s="10" t="s">
        <v>301</v>
      </c>
      <c r="C304" s="10" t="s">
        <v>301</v>
      </c>
      <c r="D304" s="10" t="s">
        <v>30</v>
      </c>
      <c r="E304" s="6" t="s">
        <v>621</v>
      </c>
      <c r="F304" s="10" t="s">
        <v>325</v>
      </c>
      <c r="G304" s="48">
        <v>-53891.72</v>
      </c>
      <c r="H304" s="36">
        <v>45658</v>
      </c>
      <c r="I304" s="11"/>
      <c r="J304" s="10" t="s">
        <v>24</v>
      </c>
      <c r="K304" s="8" t="s">
        <v>266</v>
      </c>
      <c r="L304" s="54">
        <f t="shared" si="120"/>
        <v>0</v>
      </c>
    </row>
    <row r="305" spans="1:12" hidden="1" x14ac:dyDescent="0.2">
      <c r="A305" s="5" t="s">
        <v>343</v>
      </c>
      <c r="B305" s="6" t="s">
        <v>349</v>
      </c>
      <c r="C305" s="6" t="s">
        <v>365</v>
      </c>
      <c r="D305" s="6" t="s">
        <v>622</v>
      </c>
      <c r="E305" s="6" t="s">
        <v>621</v>
      </c>
      <c r="F305" s="6" t="s">
        <v>370</v>
      </c>
      <c r="G305" s="49">
        <v>-54262.04</v>
      </c>
      <c r="H305" s="35">
        <v>45658</v>
      </c>
      <c r="I305" s="7"/>
      <c r="J305" s="6" t="s">
        <v>24</v>
      </c>
      <c r="K305" s="8" t="s">
        <v>66</v>
      </c>
      <c r="L305" s="54">
        <f t="shared" ref="L305:L310" si="121">(ISNUMBER(G305))-1</f>
        <v>0</v>
      </c>
    </row>
    <row r="306" spans="1:12" hidden="1" x14ac:dyDescent="0.2">
      <c r="A306" s="5" t="s">
        <v>343</v>
      </c>
      <c r="B306" s="6" t="s">
        <v>349</v>
      </c>
      <c r="C306" s="6" t="s">
        <v>365</v>
      </c>
      <c r="D306" s="6" t="s">
        <v>622</v>
      </c>
      <c r="E306" s="6" t="s">
        <v>621</v>
      </c>
      <c r="F306" s="6" t="s">
        <v>572</v>
      </c>
      <c r="G306" s="49">
        <v>-54296.700000000004</v>
      </c>
      <c r="H306" s="35">
        <v>45658</v>
      </c>
      <c r="I306" s="7"/>
      <c r="J306" s="6" t="s">
        <v>24</v>
      </c>
      <c r="K306" s="8" t="s">
        <v>66</v>
      </c>
      <c r="L306" s="54">
        <f t="shared" si="121"/>
        <v>0</v>
      </c>
    </row>
    <row r="307" spans="1:12" hidden="1" x14ac:dyDescent="0.2">
      <c r="A307" s="9" t="s">
        <v>343</v>
      </c>
      <c r="B307" s="10" t="s">
        <v>411</v>
      </c>
      <c r="C307" s="10" t="e">
        <f>Data_BI!#REF!</f>
        <v>#REF!</v>
      </c>
      <c r="D307" s="6" t="s">
        <v>622</v>
      </c>
      <c r="E307" s="6" t="s">
        <v>621</v>
      </c>
      <c r="F307" s="10" t="s">
        <v>431</v>
      </c>
      <c r="G307" s="48">
        <v>-55346.27</v>
      </c>
      <c r="H307" s="36">
        <v>45658</v>
      </c>
      <c r="I307" s="11"/>
      <c r="J307" s="10" t="s">
        <v>24</v>
      </c>
      <c r="K307" s="12" t="s">
        <v>66</v>
      </c>
      <c r="L307" s="54">
        <f t="shared" si="121"/>
        <v>0</v>
      </c>
    </row>
    <row r="308" spans="1:12" hidden="1" x14ac:dyDescent="0.2">
      <c r="A308" s="5" t="s">
        <v>343</v>
      </c>
      <c r="B308" s="6" t="s">
        <v>349</v>
      </c>
      <c r="C308" s="6" t="s">
        <v>365</v>
      </c>
      <c r="D308" s="6" t="s">
        <v>622</v>
      </c>
      <c r="E308" s="6" t="s">
        <v>621</v>
      </c>
      <c r="F308" s="6" t="s">
        <v>562</v>
      </c>
      <c r="G308" s="49">
        <v>-56917.4</v>
      </c>
      <c r="H308" s="35">
        <v>45658</v>
      </c>
      <c r="I308" s="7"/>
      <c r="J308" s="6" t="s">
        <v>24</v>
      </c>
      <c r="K308" s="8" t="s">
        <v>66</v>
      </c>
      <c r="L308" s="54">
        <f t="shared" si="121"/>
        <v>0</v>
      </c>
    </row>
    <row r="309" spans="1:12" hidden="1" x14ac:dyDescent="0.2">
      <c r="A309" s="5" t="s">
        <v>343</v>
      </c>
      <c r="B309" s="6" t="s">
        <v>349</v>
      </c>
      <c r="C309" s="6" t="s">
        <v>365</v>
      </c>
      <c r="D309" s="6" t="s">
        <v>622</v>
      </c>
      <c r="E309" s="6" t="s">
        <v>621</v>
      </c>
      <c r="F309" s="6" t="s">
        <v>588</v>
      </c>
      <c r="G309" s="49">
        <v>-58073.399999999994</v>
      </c>
      <c r="H309" s="35">
        <v>45658</v>
      </c>
      <c r="I309" s="7"/>
      <c r="J309" s="6" t="s">
        <v>24</v>
      </c>
      <c r="K309" s="8" t="s">
        <v>66</v>
      </c>
      <c r="L309" s="54">
        <f t="shared" si="121"/>
        <v>0</v>
      </c>
    </row>
    <row r="310" spans="1:12" hidden="1" x14ac:dyDescent="0.2">
      <c r="A310" s="9" t="s">
        <v>194</v>
      </c>
      <c r="B310" s="10" t="e">
        <f>Data_BI!#REF!</f>
        <v>#REF!</v>
      </c>
      <c r="C310" s="10" t="e">
        <f>Data_BI!#REF!</f>
        <v>#REF!</v>
      </c>
      <c r="D310" s="6" t="s">
        <v>622</v>
      </c>
      <c r="E310" s="6" t="s">
        <v>621</v>
      </c>
      <c r="F310" s="10" t="s">
        <v>339</v>
      </c>
      <c r="G310" s="48">
        <v>-58172</v>
      </c>
      <c r="H310" s="36">
        <v>45658</v>
      </c>
      <c r="I310" s="11" t="s">
        <v>340</v>
      </c>
      <c r="J310" s="10" t="s">
        <v>24</v>
      </c>
      <c r="K310" s="12" t="s">
        <v>66</v>
      </c>
      <c r="L310" s="54">
        <f t="shared" si="121"/>
        <v>0</v>
      </c>
    </row>
    <row r="311" spans="1:12" hidden="1" x14ac:dyDescent="0.2">
      <c r="A311" s="5" t="s">
        <v>221</v>
      </c>
      <c r="B311" s="6" t="s">
        <v>235</v>
      </c>
      <c r="C311" s="6" t="s">
        <v>241</v>
      </c>
      <c r="D311" s="6" t="s">
        <v>622</v>
      </c>
      <c r="E311" s="6" t="s">
        <v>621</v>
      </c>
      <c r="F311" s="6" t="s">
        <v>246</v>
      </c>
      <c r="G311" s="49">
        <v>-59494.04</v>
      </c>
      <c r="H311" s="35">
        <v>45658</v>
      </c>
      <c r="I311" s="7"/>
      <c r="J311" s="6" t="s">
        <v>24</v>
      </c>
      <c r="K311" s="8" t="s">
        <v>66</v>
      </c>
      <c r="L311" s="54">
        <f t="shared" ref="L311:L315" si="122">(ISNUMBER(G311))-1</f>
        <v>0</v>
      </c>
    </row>
    <row r="312" spans="1:12" hidden="1" x14ac:dyDescent="0.2">
      <c r="A312" s="5" t="s">
        <v>15</v>
      </c>
      <c r="B312" s="6" t="s">
        <v>63</v>
      </c>
      <c r="C312" s="6" t="s">
        <v>69</v>
      </c>
      <c r="D312" s="6" t="s">
        <v>30</v>
      </c>
      <c r="E312" s="6" t="s">
        <v>621</v>
      </c>
      <c r="F312" s="6" t="s">
        <v>73</v>
      </c>
      <c r="G312" s="49">
        <v>-61248.04</v>
      </c>
      <c r="H312" s="35">
        <v>45658</v>
      </c>
      <c r="I312" s="7"/>
      <c r="J312" s="6" t="s">
        <v>24</v>
      </c>
      <c r="K312" s="8" t="s">
        <v>66</v>
      </c>
      <c r="L312" s="54">
        <f t="shared" si="122"/>
        <v>0</v>
      </c>
    </row>
    <row r="313" spans="1:12" hidden="1" x14ac:dyDescent="0.2">
      <c r="A313" s="9" t="s">
        <v>343</v>
      </c>
      <c r="B313" s="10" t="s">
        <v>349</v>
      </c>
      <c r="C313" s="10" t="s">
        <v>487</v>
      </c>
      <c r="D313" s="6" t="s">
        <v>622</v>
      </c>
      <c r="E313" s="6" t="s">
        <v>621</v>
      </c>
      <c r="F313" s="10" t="s">
        <v>503</v>
      </c>
      <c r="G313" s="48">
        <v>-62000</v>
      </c>
      <c r="H313" s="36">
        <v>45658</v>
      </c>
      <c r="I313" s="11"/>
      <c r="J313" s="10" t="s">
        <v>24</v>
      </c>
      <c r="K313" s="12" t="s">
        <v>66</v>
      </c>
      <c r="L313" s="54">
        <f t="shared" si="122"/>
        <v>0</v>
      </c>
    </row>
    <row r="314" spans="1:12" hidden="1" x14ac:dyDescent="0.2">
      <c r="A314" s="9" t="s">
        <v>343</v>
      </c>
      <c r="B314" s="10" t="s">
        <v>349</v>
      </c>
      <c r="C314" s="10" t="s">
        <v>487</v>
      </c>
      <c r="D314" s="6" t="s">
        <v>622</v>
      </c>
      <c r="E314" s="6" t="s">
        <v>621</v>
      </c>
      <c r="F314" s="10" t="s">
        <v>533</v>
      </c>
      <c r="G314" s="48">
        <v>-63063</v>
      </c>
      <c r="H314" s="36">
        <v>45658</v>
      </c>
      <c r="I314" s="11"/>
      <c r="J314" s="10" t="s">
        <v>24</v>
      </c>
      <c r="K314" s="12" t="s">
        <v>66</v>
      </c>
      <c r="L314" s="54">
        <f t="shared" si="122"/>
        <v>0</v>
      </c>
    </row>
    <row r="315" spans="1:12" hidden="1" x14ac:dyDescent="0.2">
      <c r="A315" s="9" t="s">
        <v>221</v>
      </c>
      <c r="B315" s="10" t="s">
        <v>235</v>
      </c>
      <c r="C315" s="10" t="s">
        <v>241</v>
      </c>
      <c r="D315" s="6" t="s">
        <v>622</v>
      </c>
      <c r="E315" s="6" t="s">
        <v>621</v>
      </c>
      <c r="F315" s="10" t="s">
        <v>245</v>
      </c>
      <c r="G315" s="48">
        <v>-63105.25</v>
      </c>
      <c r="H315" s="36">
        <v>45658</v>
      </c>
      <c r="I315" s="11"/>
      <c r="J315" s="10" t="s">
        <v>24</v>
      </c>
      <c r="K315" s="12" t="s">
        <v>66</v>
      </c>
      <c r="L315" s="54">
        <f t="shared" si="122"/>
        <v>0</v>
      </c>
    </row>
    <row r="316" spans="1:12" hidden="1" x14ac:dyDescent="0.2">
      <c r="A316" s="5" t="s">
        <v>343</v>
      </c>
      <c r="B316" s="6" t="s">
        <v>349</v>
      </c>
      <c r="C316" s="6" t="s">
        <v>487</v>
      </c>
      <c r="D316" s="6" t="s">
        <v>622</v>
      </c>
      <c r="E316" s="6" t="s">
        <v>621</v>
      </c>
      <c r="F316" s="6" t="s">
        <v>512</v>
      </c>
      <c r="G316" s="49">
        <v>-65000</v>
      </c>
      <c r="H316" s="35">
        <v>45658</v>
      </c>
      <c r="I316" s="7"/>
      <c r="J316" s="6" t="s">
        <v>24</v>
      </c>
      <c r="K316" s="8" t="s">
        <v>66</v>
      </c>
      <c r="L316" s="54">
        <f t="shared" ref="L316:L318" si="123">(ISNUMBER(G316))-1</f>
        <v>0</v>
      </c>
    </row>
    <row r="317" spans="1:12" hidden="1" x14ac:dyDescent="0.2">
      <c r="A317" s="5" t="s">
        <v>343</v>
      </c>
      <c r="B317" s="6" t="s">
        <v>349</v>
      </c>
      <c r="C317" s="6" t="s">
        <v>365</v>
      </c>
      <c r="D317" s="6" t="s">
        <v>622</v>
      </c>
      <c r="E317" s="6" t="s">
        <v>621</v>
      </c>
      <c r="F317" s="6" t="s">
        <v>576</v>
      </c>
      <c r="G317" s="49">
        <v>-66575.099999999991</v>
      </c>
      <c r="H317" s="35">
        <v>45658</v>
      </c>
      <c r="I317" s="7"/>
      <c r="J317" s="6" t="s">
        <v>24</v>
      </c>
      <c r="K317" s="8" t="s">
        <v>66</v>
      </c>
      <c r="L317" s="54">
        <f t="shared" si="123"/>
        <v>0</v>
      </c>
    </row>
    <row r="318" spans="1:12" hidden="1" x14ac:dyDescent="0.2">
      <c r="A318" s="9" t="s">
        <v>343</v>
      </c>
      <c r="B318" s="10" t="s">
        <v>349</v>
      </c>
      <c r="C318" s="10" t="s">
        <v>352</v>
      </c>
      <c r="D318" s="6" t="s">
        <v>622</v>
      </c>
      <c r="E318" s="6" t="s">
        <v>621</v>
      </c>
      <c r="F318" s="10" t="s">
        <v>390</v>
      </c>
      <c r="G318" s="48">
        <v>-67916.350000000006</v>
      </c>
      <c r="H318" s="36">
        <v>45658</v>
      </c>
      <c r="I318" s="11"/>
      <c r="J318" s="10" t="s">
        <v>24</v>
      </c>
      <c r="K318" s="12" t="s">
        <v>66</v>
      </c>
      <c r="L318" s="54">
        <f t="shared" si="123"/>
        <v>0</v>
      </c>
    </row>
    <row r="319" spans="1:12" hidden="1" x14ac:dyDescent="0.2">
      <c r="A319" s="9" t="s">
        <v>81</v>
      </c>
      <c r="B319" s="10" t="s">
        <v>168</v>
      </c>
      <c r="C319" s="10" t="s">
        <v>111</v>
      </c>
      <c r="D319" s="6" t="s">
        <v>622</v>
      </c>
      <c r="E319" s="6" t="s">
        <v>621</v>
      </c>
      <c r="F319" s="10" t="s">
        <v>199</v>
      </c>
      <c r="G319" s="48">
        <v>-70555.98</v>
      </c>
      <c r="H319" s="36">
        <v>45658</v>
      </c>
      <c r="I319" s="11"/>
      <c r="J319" s="10" t="s">
        <v>24</v>
      </c>
      <c r="K319" s="12" t="s">
        <v>66</v>
      </c>
      <c r="L319" s="54">
        <f t="shared" ref="L319" si="124">(ISNUMBER(G319))-1</f>
        <v>0</v>
      </c>
    </row>
    <row r="320" spans="1:12" hidden="1" x14ac:dyDescent="0.2">
      <c r="A320" s="5" t="s">
        <v>263</v>
      </c>
      <c r="B320" s="6" t="s">
        <v>301</v>
      </c>
      <c r="C320" s="6" t="s">
        <v>301</v>
      </c>
      <c r="D320" s="6" t="s">
        <v>38</v>
      </c>
      <c r="E320" s="6" t="s">
        <v>621</v>
      </c>
      <c r="F320" s="6" t="s">
        <v>324</v>
      </c>
      <c r="G320" s="49">
        <v>-75078.649999999994</v>
      </c>
      <c r="H320" s="35">
        <v>45658</v>
      </c>
      <c r="I320" s="7"/>
      <c r="J320" s="6" t="s">
        <v>24</v>
      </c>
      <c r="K320" s="8" t="s">
        <v>266</v>
      </c>
      <c r="L320" s="54">
        <f t="shared" ref="L320:L322" si="125">(ISNUMBER(G320))-1</f>
        <v>0</v>
      </c>
    </row>
    <row r="321" spans="1:12" hidden="1" x14ac:dyDescent="0.2">
      <c r="A321" s="9" t="s">
        <v>343</v>
      </c>
      <c r="B321" s="10" t="s">
        <v>349</v>
      </c>
      <c r="C321" s="10" t="s">
        <v>356</v>
      </c>
      <c r="D321" s="6" t="s">
        <v>622</v>
      </c>
      <c r="E321" s="6" t="s">
        <v>621</v>
      </c>
      <c r="F321" s="10" t="s">
        <v>360</v>
      </c>
      <c r="G321" s="48">
        <v>-81001.8</v>
      </c>
      <c r="H321" s="36">
        <v>45658</v>
      </c>
      <c r="I321" s="11"/>
      <c r="J321" s="10" t="s">
        <v>24</v>
      </c>
      <c r="K321" s="12" t="s">
        <v>66</v>
      </c>
      <c r="L321" s="54">
        <f t="shared" si="125"/>
        <v>0</v>
      </c>
    </row>
    <row r="322" spans="1:12" hidden="1" x14ac:dyDescent="0.2">
      <c r="A322" s="5" t="s">
        <v>343</v>
      </c>
      <c r="B322" s="6" t="s">
        <v>349</v>
      </c>
      <c r="C322" s="6" t="s">
        <v>487</v>
      </c>
      <c r="D322" s="6" t="s">
        <v>622</v>
      </c>
      <c r="E322" s="6" t="s">
        <v>621</v>
      </c>
      <c r="F322" s="6" t="s">
        <v>494</v>
      </c>
      <c r="G322" s="49">
        <v>-82500</v>
      </c>
      <c r="H322" s="35">
        <v>45658</v>
      </c>
      <c r="I322" s="7"/>
      <c r="J322" s="6" t="s">
        <v>24</v>
      </c>
      <c r="K322" s="8" t="s">
        <v>66</v>
      </c>
      <c r="L322" s="54">
        <f t="shared" si="125"/>
        <v>0</v>
      </c>
    </row>
    <row r="323" spans="1:12" hidden="1" x14ac:dyDescent="0.2">
      <c r="A323" s="9" t="s">
        <v>343</v>
      </c>
      <c r="B323" s="10" t="s">
        <v>349</v>
      </c>
      <c r="C323" s="10" t="s">
        <v>365</v>
      </c>
      <c r="D323" s="6" t="s">
        <v>622</v>
      </c>
      <c r="E323" s="6" t="s">
        <v>553</v>
      </c>
      <c r="F323" s="10"/>
      <c r="G323" s="48">
        <v>-83052.719999999987</v>
      </c>
      <c r="H323" s="36">
        <v>45658</v>
      </c>
      <c r="I323" s="11"/>
      <c r="J323" s="10" t="s">
        <v>24</v>
      </c>
      <c r="K323" s="12" t="s">
        <v>66</v>
      </c>
      <c r="L323" s="54">
        <f t="shared" ref="L323:L325" si="126">(ISNUMBER(G323))-1</f>
        <v>0</v>
      </c>
    </row>
    <row r="324" spans="1:12" hidden="1" x14ac:dyDescent="0.2">
      <c r="A324" s="9" t="s">
        <v>343</v>
      </c>
      <c r="B324" s="10" t="s">
        <v>349</v>
      </c>
      <c r="C324" s="10" t="s">
        <v>365</v>
      </c>
      <c r="D324" s="6" t="s">
        <v>622</v>
      </c>
      <c r="E324" s="6" t="s">
        <v>621</v>
      </c>
      <c r="F324" s="10" t="s">
        <v>561</v>
      </c>
      <c r="G324" s="48">
        <v>-84470.827000000005</v>
      </c>
      <c r="H324" s="36">
        <v>45658</v>
      </c>
      <c r="I324" s="11"/>
      <c r="J324" s="10" t="s">
        <v>24</v>
      </c>
      <c r="K324" s="12" t="s">
        <v>66</v>
      </c>
      <c r="L324" s="54">
        <f t="shared" si="126"/>
        <v>0</v>
      </c>
    </row>
    <row r="325" spans="1:12" hidden="1" x14ac:dyDescent="0.2">
      <c r="A325" s="5" t="s">
        <v>343</v>
      </c>
      <c r="B325" s="6" t="s">
        <v>349</v>
      </c>
      <c r="C325" s="6" t="s">
        <v>365</v>
      </c>
      <c r="D325" s="6" t="s">
        <v>622</v>
      </c>
      <c r="E325" s="6" t="s">
        <v>621</v>
      </c>
      <c r="F325" s="6" t="s">
        <v>578</v>
      </c>
      <c r="G325" s="49">
        <v>-87452.099999999991</v>
      </c>
      <c r="H325" s="35">
        <v>45658</v>
      </c>
      <c r="I325" s="7"/>
      <c r="J325" s="6" t="s">
        <v>24</v>
      </c>
      <c r="K325" s="8" t="s">
        <v>66</v>
      </c>
      <c r="L325" s="54">
        <f t="shared" si="126"/>
        <v>0</v>
      </c>
    </row>
    <row r="326" spans="1:12" hidden="1" x14ac:dyDescent="0.2">
      <c r="A326" s="9" t="s">
        <v>343</v>
      </c>
      <c r="B326" s="10" t="s">
        <v>349</v>
      </c>
      <c r="C326" s="10" t="s">
        <v>487</v>
      </c>
      <c r="D326" s="6" t="s">
        <v>622</v>
      </c>
      <c r="E326" s="6" t="s">
        <v>621</v>
      </c>
      <c r="F326" s="10" t="s">
        <v>525</v>
      </c>
      <c r="G326" s="48">
        <v>-92000</v>
      </c>
      <c r="H326" s="36">
        <v>45658</v>
      </c>
      <c r="I326" s="11"/>
      <c r="J326" s="10" t="s">
        <v>24</v>
      </c>
      <c r="K326" s="12" t="s">
        <v>66</v>
      </c>
      <c r="L326" s="54">
        <f t="shared" ref="L326:L328" si="127">(ISNUMBER(G326))-1</f>
        <v>0</v>
      </c>
    </row>
    <row r="327" spans="1:12" hidden="1" x14ac:dyDescent="0.2">
      <c r="A327" s="5" t="s">
        <v>343</v>
      </c>
      <c r="B327" s="6" t="s">
        <v>349</v>
      </c>
      <c r="C327" s="6" t="s">
        <v>487</v>
      </c>
      <c r="D327" s="6" t="s">
        <v>622</v>
      </c>
      <c r="E327" s="6" t="s">
        <v>621</v>
      </c>
      <c r="F327" s="6" t="s">
        <v>534</v>
      </c>
      <c r="G327" s="49">
        <v>-95333.333333333328</v>
      </c>
      <c r="H327" s="35">
        <v>45658</v>
      </c>
      <c r="I327" s="7"/>
      <c r="J327" s="6" t="s">
        <v>24</v>
      </c>
      <c r="K327" s="8" t="s">
        <v>66</v>
      </c>
      <c r="L327" s="54">
        <f t="shared" si="127"/>
        <v>0</v>
      </c>
    </row>
    <row r="328" spans="1:12" hidden="1" x14ac:dyDescent="0.2">
      <c r="A328" s="5" t="s">
        <v>343</v>
      </c>
      <c r="B328" s="6" t="s">
        <v>349</v>
      </c>
      <c r="C328" s="6" t="s">
        <v>365</v>
      </c>
      <c r="D328" s="6" t="s">
        <v>622</v>
      </c>
      <c r="E328" s="6" t="s">
        <v>621</v>
      </c>
      <c r="F328" s="6" t="s">
        <v>586</v>
      </c>
      <c r="G328" s="49">
        <v>-96798.668000000005</v>
      </c>
      <c r="H328" s="35">
        <v>45658</v>
      </c>
      <c r="I328" s="7"/>
      <c r="J328" s="6" t="s">
        <v>24</v>
      </c>
      <c r="K328" s="8" t="s">
        <v>66</v>
      </c>
      <c r="L328" s="54">
        <f t="shared" si="127"/>
        <v>0</v>
      </c>
    </row>
    <row r="329" spans="1:12" hidden="1" x14ac:dyDescent="0.2">
      <c r="A329" s="9" t="s">
        <v>343</v>
      </c>
      <c r="B329" s="10" t="s">
        <v>349</v>
      </c>
      <c r="C329" s="10" t="s">
        <v>352</v>
      </c>
      <c r="D329" s="6" t="s">
        <v>622</v>
      </c>
      <c r="E329" s="6" t="s">
        <v>621</v>
      </c>
      <c r="F329" s="10" t="s">
        <v>479</v>
      </c>
      <c r="G329" s="48">
        <v>-98580</v>
      </c>
      <c r="H329" s="36">
        <v>45658</v>
      </c>
      <c r="I329" s="11"/>
      <c r="J329" s="10" t="s">
        <v>24</v>
      </c>
      <c r="K329" s="12" t="s">
        <v>66</v>
      </c>
      <c r="L329" s="54">
        <f t="shared" ref="L329:L334" si="128">(ISNUMBER(G329))-1</f>
        <v>0</v>
      </c>
    </row>
    <row r="330" spans="1:12" hidden="1" x14ac:dyDescent="0.2">
      <c r="A330" s="5" t="s">
        <v>81</v>
      </c>
      <c r="B330" s="6" t="s">
        <v>168</v>
      </c>
      <c r="C330" s="6" t="s">
        <v>103</v>
      </c>
      <c r="D330" s="6" t="s">
        <v>622</v>
      </c>
      <c r="E330" s="6" t="s">
        <v>621</v>
      </c>
      <c r="F330" s="6" t="s">
        <v>105</v>
      </c>
      <c r="G330" s="49">
        <v>-98649.66</v>
      </c>
      <c r="H330" s="35">
        <v>45658</v>
      </c>
      <c r="I330" s="7"/>
      <c r="J330" s="6" t="s">
        <v>24</v>
      </c>
      <c r="K330" s="8" t="s">
        <v>66</v>
      </c>
      <c r="L330" s="54">
        <f t="shared" si="128"/>
        <v>0</v>
      </c>
    </row>
    <row r="331" spans="1:12" hidden="1" x14ac:dyDescent="0.2">
      <c r="A331" s="9" t="s">
        <v>81</v>
      </c>
      <c r="B331" s="10" t="s">
        <v>168</v>
      </c>
      <c r="C331" s="10" t="s">
        <v>103</v>
      </c>
      <c r="D331" s="6" t="s">
        <v>622</v>
      </c>
      <c r="E331" s="6" t="s">
        <v>621</v>
      </c>
      <c r="F331" s="10" t="s">
        <v>198</v>
      </c>
      <c r="G331" s="48">
        <v>-100400</v>
      </c>
      <c r="H331" s="36">
        <v>45658</v>
      </c>
      <c r="I331" s="11"/>
      <c r="J331" s="10" t="s">
        <v>24</v>
      </c>
      <c r="K331" s="12" t="s">
        <v>66</v>
      </c>
      <c r="L331" s="54">
        <f t="shared" si="128"/>
        <v>0</v>
      </c>
    </row>
    <row r="332" spans="1:12" hidden="1" x14ac:dyDescent="0.2">
      <c r="A332" s="5" t="s">
        <v>343</v>
      </c>
      <c r="B332" s="6" t="s">
        <v>349</v>
      </c>
      <c r="C332" s="6" t="s">
        <v>363</v>
      </c>
      <c r="D332" s="6" t="s">
        <v>622</v>
      </c>
      <c r="E332" s="6" t="s">
        <v>621</v>
      </c>
      <c r="F332" s="6" t="s">
        <v>367</v>
      </c>
      <c r="G332" s="49">
        <v>-101175.64</v>
      </c>
      <c r="H332" s="35">
        <v>45658</v>
      </c>
      <c r="I332" s="7" t="s">
        <v>368</v>
      </c>
      <c r="J332" s="6" t="s">
        <v>24</v>
      </c>
      <c r="K332" s="8" t="s">
        <v>66</v>
      </c>
      <c r="L332" s="54">
        <f t="shared" si="128"/>
        <v>0</v>
      </c>
    </row>
    <row r="333" spans="1:12" hidden="1" x14ac:dyDescent="0.2">
      <c r="A333" s="9" t="s">
        <v>263</v>
      </c>
      <c r="B333" s="10" t="s">
        <v>301</v>
      </c>
      <c r="C333" s="10" t="s">
        <v>301</v>
      </c>
      <c r="D333" s="6" t="s">
        <v>622</v>
      </c>
      <c r="E333" s="6" t="s">
        <v>621</v>
      </c>
      <c r="F333" s="10" t="s">
        <v>323</v>
      </c>
      <c r="G333" s="48">
        <v>-101192.28</v>
      </c>
      <c r="H333" s="36">
        <v>45658</v>
      </c>
      <c r="I333" s="11"/>
      <c r="J333" s="10" t="s">
        <v>24</v>
      </c>
      <c r="K333" s="8" t="s">
        <v>266</v>
      </c>
      <c r="L333" s="54">
        <f t="shared" si="128"/>
        <v>0</v>
      </c>
    </row>
    <row r="334" spans="1:12" hidden="1" x14ac:dyDescent="0.2">
      <c r="A334" s="5" t="s">
        <v>343</v>
      </c>
      <c r="B334" s="6" t="s">
        <v>349</v>
      </c>
      <c r="C334" s="6" t="s">
        <v>352</v>
      </c>
      <c r="D334" s="6" t="s">
        <v>622</v>
      </c>
      <c r="E334" s="6" t="s">
        <v>621</v>
      </c>
      <c r="F334" s="6" t="s">
        <v>406</v>
      </c>
      <c r="G334" s="49">
        <v>-102300</v>
      </c>
      <c r="H334" s="35">
        <v>45658</v>
      </c>
      <c r="I334" s="7" t="s">
        <v>407</v>
      </c>
      <c r="J334" s="6" t="s">
        <v>24</v>
      </c>
      <c r="K334" s="8" t="s">
        <v>66</v>
      </c>
      <c r="L334" s="54">
        <f t="shared" si="128"/>
        <v>0</v>
      </c>
    </row>
    <row r="335" spans="1:12" hidden="1" x14ac:dyDescent="0.2">
      <c r="A335" s="9" t="s">
        <v>81</v>
      </c>
      <c r="B335" s="10" t="s">
        <v>168</v>
      </c>
      <c r="C335" s="10" t="s">
        <v>186</v>
      </c>
      <c r="D335" s="6" t="s">
        <v>622</v>
      </c>
      <c r="E335" s="6" t="s">
        <v>621</v>
      </c>
      <c r="F335" s="10" t="s">
        <v>192</v>
      </c>
      <c r="G335" s="48">
        <v>-103531.76</v>
      </c>
      <c r="H335" s="36">
        <v>45658</v>
      </c>
      <c r="I335" s="11"/>
      <c r="J335" s="10" t="s">
        <v>24</v>
      </c>
      <c r="K335" s="12" t="s">
        <v>66</v>
      </c>
      <c r="L335" s="54">
        <f t="shared" ref="L335:L338" si="129">(ISNUMBER(G335))-1</f>
        <v>0</v>
      </c>
    </row>
    <row r="336" spans="1:12" hidden="1" x14ac:dyDescent="0.2">
      <c r="A336" s="5" t="s">
        <v>343</v>
      </c>
      <c r="B336" s="6" t="s">
        <v>411</v>
      </c>
      <c r="C336" s="6" t="e">
        <f>Data_BI!#REF!</f>
        <v>#REF!</v>
      </c>
      <c r="D336" s="6" t="s">
        <v>622</v>
      </c>
      <c r="E336" s="6" t="s">
        <v>621</v>
      </c>
      <c r="F336" s="6" t="s">
        <v>430</v>
      </c>
      <c r="G336" s="49">
        <v>-105068.35</v>
      </c>
      <c r="H336" s="35">
        <v>45658</v>
      </c>
      <c r="I336" s="7"/>
      <c r="J336" s="6" t="s">
        <v>24</v>
      </c>
      <c r="K336" s="8" t="s">
        <v>66</v>
      </c>
      <c r="L336" s="54">
        <f t="shared" si="129"/>
        <v>0</v>
      </c>
    </row>
    <row r="337" spans="1:12" hidden="1" x14ac:dyDescent="0.2">
      <c r="A337" s="5" t="s">
        <v>343</v>
      </c>
      <c r="B337" s="6" t="s">
        <v>349</v>
      </c>
      <c r="C337" s="6" t="s">
        <v>487</v>
      </c>
      <c r="D337" s="6" t="s">
        <v>622</v>
      </c>
      <c r="E337" s="6" t="s">
        <v>621</v>
      </c>
      <c r="F337" s="6" t="s">
        <v>498</v>
      </c>
      <c r="G337" s="49">
        <v>-106666.66666666667</v>
      </c>
      <c r="H337" s="35">
        <v>45658</v>
      </c>
      <c r="I337" s="7"/>
      <c r="J337" s="6" t="s">
        <v>24</v>
      </c>
      <c r="K337" s="8" t="s">
        <v>66</v>
      </c>
      <c r="L337" s="54">
        <f t="shared" si="129"/>
        <v>0</v>
      </c>
    </row>
    <row r="338" spans="1:12" hidden="1" x14ac:dyDescent="0.2">
      <c r="A338" s="9" t="s">
        <v>343</v>
      </c>
      <c r="B338" s="10" t="s">
        <v>349</v>
      </c>
      <c r="C338" s="10" t="s">
        <v>365</v>
      </c>
      <c r="D338" s="6" t="s">
        <v>622</v>
      </c>
      <c r="E338" s="6" t="s">
        <v>621</v>
      </c>
      <c r="F338" s="10" t="s">
        <v>549</v>
      </c>
      <c r="G338" s="48">
        <v>-106778.92</v>
      </c>
      <c r="H338" s="36">
        <v>45658</v>
      </c>
      <c r="I338" s="11"/>
      <c r="J338" s="10" t="s">
        <v>24</v>
      </c>
      <c r="K338" s="12" t="s">
        <v>66</v>
      </c>
      <c r="L338" s="54">
        <f t="shared" si="129"/>
        <v>0</v>
      </c>
    </row>
    <row r="339" spans="1:12" hidden="1" x14ac:dyDescent="0.2">
      <c r="A339" s="5" t="s">
        <v>343</v>
      </c>
      <c r="B339" s="6" t="s">
        <v>349</v>
      </c>
      <c r="C339" s="6" t="s">
        <v>365</v>
      </c>
      <c r="D339" s="6" t="s">
        <v>622</v>
      </c>
      <c r="E339" s="6" t="s">
        <v>621</v>
      </c>
      <c r="F339" s="6" t="s">
        <v>568</v>
      </c>
      <c r="G339" s="49">
        <v>-110765.44666666666</v>
      </c>
      <c r="H339" s="35">
        <v>45658</v>
      </c>
      <c r="I339" s="7"/>
      <c r="J339" s="6" t="s">
        <v>24</v>
      </c>
      <c r="K339" s="8" t="s">
        <v>66</v>
      </c>
      <c r="L339" s="54">
        <f t="shared" ref="L339:L341" si="130">(ISNUMBER(G339))-1</f>
        <v>0</v>
      </c>
    </row>
    <row r="340" spans="1:12" hidden="1" x14ac:dyDescent="0.2">
      <c r="A340" s="9" t="s">
        <v>343</v>
      </c>
      <c r="B340" s="10" t="s">
        <v>411</v>
      </c>
      <c r="C340" s="10" t="e">
        <f>Data_BI!#REF!</f>
        <v>#REF!</v>
      </c>
      <c r="D340" s="6" t="s">
        <v>622</v>
      </c>
      <c r="E340" s="6" t="s">
        <v>621</v>
      </c>
      <c r="F340" s="10" t="s">
        <v>429</v>
      </c>
      <c r="G340" s="48">
        <v>-112582.99</v>
      </c>
      <c r="H340" s="36">
        <v>45658</v>
      </c>
      <c r="I340" s="11"/>
      <c r="J340" s="10" t="s">
        <v>24</v>
      </c>
      <c r="K340" s="12" t="s">
        <v>66</v>
      </c>
      <c r="L340" s="54">
        <f t="shared" si="130"/>
        <v>0</v>
      </c>
    </row>
    <row r="341" spans="1:12" hidden="1" x14ac:dyDescent="0.2">
      <c r="A341" s="9" t="s">
        <v>343</v>
      </c>
      <c r="B341" s="10" t="s">
        <v>349</v>
      </c>
      <c r="C341" s="10" t="s">
        <v>356</v>
      </c>
      <c r="D341" s="6" t="s">
        <v>622</v>
      </c>
      <c r="E341" s="6" t="s">
        <v>621</v>
      </c>
      <c r="F341" s="10" t="s">
        <v>396</v>
      </c>
      <c r="G341" s="48">
        <v>-114916.68</v>
      </c>
      <c r="H341" s="36">
        <v>45658</v>
      </c>
      <c r="I341" s="11"/>
      <c r="J341" s="10" t="s">
        <v>24</v>
      </c>
      <c r="K341" s="12" t="s">
        <v>66</v>
      </c>
      <c r="L341" s="54">
        <f t="shared" si="130"/>
        <v>0</v>
      </c>
    </row>
    <row r="342" spans="1:12" hidden="1" x14ac:dyDescent="0.2">
      <c r="A342" s="9" t="s">
        <v>343</v>
      </c>
      <c r="B342" s="10" t="s">
        <v>349</v>
      </c>
      <c r="C342" s="10" t="s">
        <v>352</v>
      </c>
      <c r="D342" s="6" t="s">
        <v>622</v>
      </c>
      <c r="E342" s="6" t="s">
        <v>621</v>
      </c>
      <c r="F342" s="10" t="s">
        <v>392</v>
      </c>
      <c r="G342" s="48">
        <v>-117403.3333333333</v>
      </c>
      <c r="H342" s="36">
        <v>45658</v>
      </c>
      <c r="I342" s="11"/>
      <c r="J342" s="10" t="s">
        <v>24</v>
      </c>
      <c r="K342" s="12" t="s">
        <v>66</v>
      </c>
      <c r="L342" s="54">
        <f t="shared" ref="L342:L346" si="131">(ISNUMBER(G342))-1</f>
        <v>0</v>
      </c>
    </row>
    <row r="343" spans="1:12" hidden="1" x14ac:dyDescent="0.2">
      <c r="A343" s="5" t="s">
        <v>343</v>
      </c>
      <c r="B343" s="6" t="s">
        <v>349</v>
      </c>
      <c r="C343" s="6" t="s">
        <v>365</v>
      </c>
      <c r="D343" s="6" t="s">
        <v>622</v>
      </c>
      <c r="E343" s="6" t="s">
        <v>621</v>
      </c>
      <c r="F343" s="6" t="s">
        <v>554</v>
      </c>
      <c r="G343" s="49">
        <v>-117864</v>
      </c>
      <c r="H343" s="35">
        <v>45658</v>
      </c>
      <c r="I343" s="7"/>
      <c r="J343" s="6" t="s">
        <v>24</v>
      </c>
      <c r="K343" s="8" t="s">
        <v>66</v>
      </c>
      <c r="L343" s="54">
        <f t="shared" si="131"/>
        <v>0</v>
      </c>
    </row>
    <row r="344" spans="1:12" hidden="1" x14ac:dyDescent="0.2">
      <c r="A344" s="9" t="s">
        <v>343</v>
      </c>
      <c r="B344" s="10" t="s">
        <v>349</v>
      </c>
      <c r="C344" s="10" t="s">
        <v>487</v>
      </c>
      <c r="D344" s="6" t="s">
        <v>622</v>
      </c>
      <c r="E344" s="6" t="s">
        <v>621</v>
      </c>
      <c r="F344" s="10" t="s">
        <v>511</v>
      </c>
      <c r="G344" s="48">
        <v>-119392</v>
      </c>
      <c r="H344" s="36">
        <v>45658</v>
      </c>
      <c r="I344" s="11"/>
      <c r="J344" s="10" t="s">
        <v>24</v>
      </c>
      <c r="K344" s="12" t="s">
        <v>66</v>
      </c>
      <c r="L344" s="54">
        <f t="shared" si="131"/>
        <v>0</v>
      </c>
    </row>
    <row r="345" spans="1:12" hidden="1" x14ac:dyDescent="0.2">
      <c r="A345" s="9" t="s">
        <v>343</v>
      </c>
      <c r="B345" s="10" t="s">
        <v>349</v>
      </c>
      <c r="C345" s="10" t="s">
        <v>365</v>
      </c>
      <c r="D345" s="6" t="s">
        <v>622</v>
      </c>
      <c r="E345" s="6" t="s">
        <v>621</v>
      </c>
      <c r="F345" s="10" t="s">
        <v>545</v>
      </c>
      <c r="G345" s="48">
        <v>-120844.61333333333</v>
      </c>
      <c r="H345" s="36">
        <v>45658</v>
      </c>
      <c r="I345" s="11"/>
      <c r="J345" s="10" t="s">
        <v>24</v>
      </c>
      <c r="K345" s="12" t="s">
        <v>66</v>
      </c>
      <c r="L345" s="54">
        <f t="shared" si="131"/>
        <v>0</v>
      </c>
    </row>
    <row r="346" spans="1:12" hidden="1" x14ac:dyDescent="0.2">
      <c r="A346" s="5" t="s">
        <v>343</v>
      </c>
      <c r="B346" s="6" t="s">
        <v>349</v>
      </c>
      <c r="C346" s="6" t="s">
        <v>487</v>
      </c>
      <c r="D346" s="6" t="s">
        <v>622</v>
      </c>
      <c r="E346" s="6" t="s">
        <v>621</v>
      </c>
      <c r="F346" s="6" t="s">
        <v>500</v>
      </c>
      <c r="G346" s="49">
        <v>-122430</v>
      </c>
      <c r="H346" s="35">
        <v>45658</v>
      </c>
      <c r="I346" s="7"/>
      <c r="J346" s="6" t="s">
        <v>24</v>
      </c>
      <c r="K346" s="8" t="s">
        <v>66</v>
      </c>
      <c r="L346" s="54">
        <f t="shared" si="131"/>
        <v>0</v>
      </c>
    </row>
    <row r="347" spans="1:12" hidden="1" x14ac:dyDescent="0.2">
      <c r="A347" s="5" t="s">
        <v>343</v>
      </c>
      <c r="B347" s="6" t="s">
        <v>349</v>
      </c>
      <c r="C347" s="6" t="s">
        <v>365</v>
      </c>
      <c r="D347" s="6" t="s">
        <v>622</v>
      </c>
      <c r="E347" s="6" t="s">
        <v>621</v>
      </c>
      <c r="F347" s="6" t="s">
        <v>574</v>
      </c>
      <c r="G347" s="49">
        <v>-122783.04000000002</v>
      </c>
      <c r="H347" s="35">
        <v>45658</v>
      </c>
      <c r="I347" s="7"/>
      <c r="J347" s="6" t="s">
        <v>24</v>
      </c>
      <c r="K347" s="8" t="s">
        <v>66</v>
      </c>
      <c r="L347" s="54">
        <f t="shared" ref="L347:L353" si="132">(ISNUMBER(G347))-1</f>
        <v>0</v>
      </c>
    </row>
    <row r="348" spans="1:12" hidden="1" x14ac:dyDescent="0.2">
      <c r="A348" s="9" t="s">
        <v>343</v>
      </c>
      <c r="B348" s="10" t="s">
        <v>349</v>
      </c>
      <c r="C348" s="10" t="s">
        <v>352</v>
      </c>
      <c r="D348" s="6" t="s">
        <v>622</v>
      </c>
      <c r="E348" s="6" t="s">
        <v>621</v>
      </c>
      <c r="F348" s="10" t="s">
        <v>386</v>
      </c>
      <c r="G348" s="48">
        <v>-123157.31</v>
      </c>
      <c r="H348" s="36">
        <v>45658</v>
      </c>
      <c r="I348" s="11" t="s">
        <v>387</v>
      </c>
      <c r="J348" s="10" t="s">
        <v>24</v>
      </c>
      <c r="K348" s="12" t="s">
        <v>66</v>
      </c>
      <c r="L348" s="54">
        <f t="shared" si="132"/>
        <v>0</v>
      </c>
    </row>
    <row r="349" spans="1:12" hidden="1" x14ac:dyDescent="0.2">
      <c r="A349" s="5" t="s">
        <v>81</v>
      </c>
      <c r="B349" s="6" t="s">
        <v>168</v>
      </c>
      <c r="C349" s="6" t="s">
        <v>181</v>
      </c>
      <c r="D349" s="6" t="s">
        <v>622</v>
      </c>
      <c r="E349" s="6" t="s">
        <v>621</v>
      </c>
      <c r="F349" s="6" t="s">
        <v>184</v>
      </c>
      <c r="G349" s="49">
        <v>-123833.54</v>
      </c>
      <c r="H349" s="35">
        <v>45658</v>
      </c>
      <c r="I349" s="7"/>
      <c r="J349" s="6" t="s">
        <v>24</v>
      </c>
      <c r="K349" s="8" t="s">
        <v>66</v>
      </c>
      <c r="L349" s="54">
        <f t="shared" si="132"/>
        <v>0</v>
      </c>
    </row>
    <row r="350" spans="1:12" hidden="1" x14ac:dyDescent="0.2">
      <c r="A350" s="5" t="s">
        <v>81</v>
      </c>
      <c r="B350" s="6" t="s">
        <v>168</v>
      </c>
      <c r="C350" s="6" t="s">
        <v>186</v>
      </c>
      <c r="D350" s="6" t="s">
        <v>622</v>
      </c>
      <c r="E350" s="6" t="s">
        <v>621</v>
      </c>
      <c r="F350" s="6" t="s">
        <v>191</v>
      </c>
      <c r="G350" s="49">
        <v>-124137.33</v>
      </c>
      <c r="H350" s="35">
        <v>45658</v>
      </c>
      <c r="I350" s="7"/>
      <c r="J350" s="6" t="s">
        <v>24</v>
      </c>
      <c r="K350" s="8" t="s">
        <v>66</v>
      </c>
      <c r="L350" s="54">
        <f t="shared" si="132"/>
        <v>0</v>
      </c>
    </row>
    <row r="351" spans="1:12" hidden="1" x14ac:dyDescent="0.2">
      <c r="A351" s="9" t="s">
        <v>343</v>
      </c>
      <c r="B351" s="10" t="s">
        <v>349</v>
      </c>
      <c r="C351" s="10" t="s">
        <v>487</v>
      </c>
      <c r="D351" s="6" t="s">
        <v>622</v>
      </c>
      <c r="E351" s="6" t="s">
        <v>621</v>
      </c>
      <c r="F351" s="10" t="s">
        <v>491</v>
      </c>
      <c r="G351" s="48">
        <v>-124971.76333333332</v>
      </c>
      <c r="H351" s="36">
        <v>45658</v>
      </c>
      <c r="I351" s="11"/>
      <c r="J351" s="10" t="s">
        <v>24</v>
      </c>
      <c r="K351" s="12" t="s">
        <v>66</v>
      </c>
      <c r="L351" s="54">
        <f t="shared" si="132"/>
        <v>0</v>
      </c>
    </row>
    <row r="352" spans="1:12" hidden="1" x14ac:dyDescent="0.2">
      <c r="A352" s="9" t="s">
        <v>343</v>
      </c>
      <c r="B352" s="10" t="s">
        <v>349</v>
      </c>
      <c r="C352" s="10" t="s">
        <v>487</v>
      </c>
      <c r="D352" s="6" t="s">
        <v>622</v>
      </c>
      <c r="E352" s="6" t="s">
        <v>621</v>
      </c>
      <c r="F352" s="10" t="s">
        <v>531</v>
      </c>
      <c r="G352" s="48">
        <v>-127282.05</v>
      </c>
      <c r="H352" s="36">
        <v>45658</v>
      </c>
      <c r="I352" s="11"/>
      <c r="J352" s="10" t="s">
        <v>24</v>
      </c>
      <c r="K352" s="12" t="s">
        <v>66</v>
      </c>
      <c r="L352" s="54">
        <f t="shared" si="132"/>
        <v>0</v>
      </c>
    </row>
    <row r="353" spans="1:12" hidden="1" x14ac:dyDescent="0.2">
      <c r="A353" s="5" t="s">
        <v>343</v>
      </c>
      <c r="B353" s="6" t="s">
        <v>349</v>
      </c>
      <c r="C353" s="6" t="s">
        <v>352</v>
      </c>
      <c r="D353" s="6" t="s">
        <v>622</v>
      </c>
      <c r="E353" s="6" t="s">
        <v>621</v>
      </c>
      <c r="F353" s="6" t="s">
        <v>385</v>
      </c>
      <c r="G353" s="49">
        <v>-128334.74</v>
      </c>
      <c r="H353" s="35">
        <v>45658</v>
      </c>
      <c r="I353" s="7"/>
      <c r="J353" s="6" t="s">
        <v>24</v>
      </c>
      <c r="K353" s="8" t="s">
        <v>66</v>
      </c>
      <c r="L353" s="54">
        <f t="shared" si="132"/>
        <v>0</v>
      </c>
    </row>
    <row r="354" spans="1:12" hidden="1" x14ac:dyDescent="0.2">
      <c r="A354" s="5" t="s">
        <v>343</v>
      </c>
      <c r="B354" s="6" t="s">
        <v>349</v>
      </c>
      <c r="C354" s="6" t="s">
        <v>487</v>
      </c>
      <c r="D354" s="6" t="s">
        <v>622</v>
      </c>
      <c r="E354" s="6" t="s">
        <v>621</v>
      </c>
      <c r="F354" s="10" t="s">
        <v>504</v>
      </c>
      <c r="G354" s="49">
        <v>-138590.67999999996</v>
      </c>
      <c r="H354" s="35">
        <v>45658</v>
      </c>
      <c r="I354" s="7"/>
      <c r="J354" s="6" t="s">
        <v>24</v>
      </c>
      <c r="K354" s="8" t="s">
        <v>66</v>
      </c>
      <c r="L354" s="54">
        <f t="shared" ref="L354" si="133">(ISNUMBER(G354))-1</f>
        <v>0</v>
      </c>
    </row>
    <row r="355" spans="1:12" hidden="1" x14ac:dyDescent="0.2">
      <c r="A355" s="5" t="s">
        <v>343</v>
      </c>
      <c r="B355" s="6" t="s">
        <v>349</v>
      </c>
      <c r="C355" s="6" t="s">
        <v>487</v>
      </c>
      <c r="D355" s="6" t="s">
        <v>622</v>
      </c>
      <c r="E355" s="6" t="s">
        <v>621</v>
      </c>
      <c r="F355" s="6" t="s">
        <v>526</v>
      </c>
      <c r="G355" s="49">
        <v>-146410</v>
      </c>
      <c r="H355" s="35">
        <v>45658</v>
      </c>
      <c r="I355" s="7"/>
      <c r="J355" s="6" t="s">
        <v>24</v>
      </c>
      <c r="K355" s="8" t="s">
        <v>66</v>
      </c>
      <c r="L355" s="54">
        <f t="shared" ref="L355:L358" si="134">(ISNUMBER(G355))-1</f>
        <v>0</v>
      </c>
    </row>
    <row r="356" spans="1:12" hidden="1" x14ac:dyDescent="0.2">
      <c r="A356" s="5" t="s">
        <v>343</v>
      </c>
      <c r="B356" s="6" t="s">
        <v>349</v>
      </c>
      <c r="C356" s="6" t="s">
        <v>352</v>
      </c>
      <c r="D356" s="6" t="s">
        <v>622</v>
      </c>
      <c r="E356" s="6" t="s">
        <v>621</v>
      </c>
      <c r="F356" s="6" t="s">
        <v>391</v>
      </c>
      <c r="G356" s="49">
        <v>-146574.76333333331</v>
      </c>
      <c r="H356" s="35">
        <v>45658</v>
      </c>
      <c r="I356" s="7"/>
      <c r="J356" s="6" t="s">
        <v>24</v>
      </c>
      <c r="K356" s="8" t="s">
        <v>66</v>
      </c>
      <c r="L356" s="54">
        <f t="shared" si="134"/>
        <v>0</v>
      </c>
    </row>
    <row r="357" spans="1:12" hidden="1" x14ac:dyDescent="0.2">
      <c r="A357" s="9" t="s">
        <v>194</v>
      </c>
      <c r="B357" s="10" t="s">
        <v>336</v>
      </c>
      <c r="C357" s="10" t="s">
        <v>336</v>
      </c>
      <c r="D357" s="6" t="s">
        <v>622</v>
      </c>
      <c r="E357" s="6" t="s">
        <v>621</v>
      </c>
      <c r="F357" s="10" t="s">
        <v>336</v>
      </c>
      <c r="G357" s="48">
        <v>-146855.57</v>
      </c>
      <c r="H357" s="36">
        <v>45658</v>
      </c>
      <c r="I357" s="11"/>
      <c r="J357" s="10" t="s">
        <v>24</v>
      </c>
      <c r="K357" s="12" t="s">
        <v>66</v>
      </c>
      <c r="L357" s="54">
        <f t="shared" si="134"/>
        <v>0</v>
      </c>
    </row>
    <row r="358" spans="1:12" hidden="1" x14ac:dyDescent="0.2">
      <c r="A358" s="9" t="s">
        <v>343</v>
      </c>
      <c r="B358" s="10" t="s">
        <v>349</v>
      </c>
      <c r="C358" s="10" t="s">
        <v>487</v>
      </c>
      <c r="D358" s="6" t="s">
        <v>622</v>
      </c>
      <c r="E358" s="6" t="s">
        <v>621</v>
      </c>
      <c r="F358" s="10" t="s">
        <v>513</v>
      </c>
      <c r="G358" s="48">
        <v>-148000</v>
      </c>
      <c r="H358" s="36">
        <v>45658</v>
      </c>
      <c r="I358" s="11"/>
      <c r="J358" s="10" t="s">
        <v>24</v>
      </c>
      <c r="K358" s="12" t="s">
        <v>66</v>
      </c>
      <c r="L358" s="54">
        <f t="shared" si="134"/>
        <v>0</v>
      </c>
    </row>
    <row r="359" spans="1:12" hidden="1" x14ac:dyDescent="0.2">
      <c r="A359" s="5" t="s">
        <v>343</v>
      </c>
      <c r="B359" s="6" t="s">
        <v>349</v>
      </c>
      <c r="C359" s="6" t="s">
        <v>352</v>
      </c>
      <c r="D359" s="6" t="s">
        <v>622</v>
      </c>
      <c r="E359" s="6" t="s">
        <v>621</v>
      </c>
      <c r="F359" s="6" t="s">
        <v>388</v>
      </c>
      <c r="G359" s="49">
        <v>-149012.0266666667</v>
      </c>
      <c r="H359" s="35">
        <v>45658</v>
      </c>
      <c r="I359" s="7"/>
      <c r="J359" s="6" t="s">
        <v>24</v>
      </c>
      <c r="K359" s="8" t="s">
        <v>66</v>
      </c>
      <c r="L359" s="54">
        <f t="shared" ref="L359:L360" si="135">(ISNUMBER(G359))-1</f>
        <v>0</v>
      </c>
    </row>
    <row r="360" spans="1:12" hidden="1" x14ac:dyDescent="0.2">
      <c r="A360" s="5" t="s">
        <v>343</v>
      </c>
      <c r="B360" s="6" t="s">
        <v>349</v>
      </c>
      <c r="C360" s="6" t="s">
        <v>487</v>
      </c>
      <c r="D360" s="6" t="s">
        <v>622</v>
      </c>
      <c r="E360" s="6" t="s">
        <v>621</v>
      </c>
      <c r="F360" s="14" t="s">
        <v>514</v>
      </c>
      <c r="G360" s="49">
        <v>-149600</v>
      </c>
      <c r="H360" s="35">
        <v>45658</v>
      </c>
      <c r="I360" s="7"/>
      <c r="J360" s="6" t="s">
        <v>24</v>
      </c>
      <c r="K360" s="8" t="s">
        <v>66</v>
      </c>
      <c r="L360" s="54">
        <f t="shared" si="135"/>
        <v>0</v>
      </c>
    </row>
    <row r="361" spans="1:12" hidden="1" x14ac:dyDescent="0.2">
      <c r="A361" s="5" t="s">
        <v>343</v>
      </c>
      <c r="B361" s="6" t="s">
        <v>349</v>
      </c>
      <c r="C361" s="6" t="s">
        <v>352</v>
      </c>
      <c r="D361" s="6" t="s">
        <v>622</v>
      </c>
      <c r="E361" s="6" t="s">
        <v>621</v>
      </c>
      <c r="F361" s="6" t="s">
        <v>383</v>
      </c>
      <c r="G361" s="49">
        <v>-159600</v>
      </c>
      <c r="H361" s="35">
        <v>45658</v>
      </c>
      <c r="I361" s="7"/>
      <c r="J361" s="6" t="s">
        <v>24</v>
      </c>
      <c r="K361" s="8" t="s">
        <v>66</v>
      </c>
      <c r="L361" s="54">
        <f t="shared" ref="L361:L366" si="136">(ISNUMBER(G361))-1</f>
        <v>0</v>
      </c>
    </row>
    <row r="362" spans="1:12" hidden="1" x14ac:dyDescent="0.2">
      <c r="A362" s="9" t="s">
        <v>343</v>
      </c>
      <c r="B362" s="10" t="s">
        <v>349</v>
      </c>
      <c r="C362" s="10" t="s">
        <v>356</v>
      </c>
      <c r="D362" s="6" t="s">
        <v>622</v>
      </c>
      <c r="E362" s="6" t="s">
        <v>621</v>
      </c>
      <c r="F362" s="10" t="s">
        <v>359</v>
      </c>
      <c r="G362" s="48">
        <v>-161294.86800000002</v>
      </c>
      <c r="H362" s="36">
        <v>45658</v>
      </c>
      <c r="I362" s="11"/>
      <c r="J362" s="10" t="s">
        <v>24</v>
      </c>
      <c r="K362" s="12" t="s">
        <v>66</v>
      </c>
      <c r="L362" s="54">
        <f t="shared" si="136"/>
        <v>0</v>
      </c>
    </row>
    <row r="363" spans="1:12" hidden="1" x14ac:dyDescent="0.2">
      <c r="A363" s="5" t="s">
        <v>15</v>
      </c>
      <c r="B363" s="6" t="s">
        <v>63</v>
      </c>
      <c r="C363" s="6" t="s">
        <v>76</v>
      </c>
      <c r="D363" s="6" t="s">
        <v>622</v>
      </c>
      <c r="E363" s="6" t="s">
        <v>621</v>
      </c>
      <c r="F363" s="6" t="s">
        <v>79</v>
      </c>
      <c r="G363" s="49">
        <v>-162835.20000000001</v>
      </c>
      <c r="H363" s="35">
        <v>45658</v>
      </c>
      <c r="I363" s="7"/>
      <c r="J363" s="6" t="s">
        <v>24</v>
      </c>
      <c r="K363" s="8" t="s">
        <v>66</v>
      </c>
      <c r="L363" s="54">
        <f t="shared" si="136"/>
        <v>0</v>
      </c>
    </row>
    <row r="364" spans="1:12" hidden="1" x14ac:dyDescent="0.2">
      <c r="A364" s="9" t="s">
        <v>343</v>
      </c>
      <c r="B364" s="10" t="s">
        <v>349</v>
      </c>
      <c r="C364" s="10" t="s">
        <v>365</v>
      </c>
      <c r="D364" s="6" t="s">
        <v>622</v>
      </c>
      <c r="E364" s="6" t="s">
        <v>621</v>
      </c>
      <c r="F364" s="10" t="s">
        <v>563</v>
      </c>
      <c r="G364" s="48">
        <v>-164026.13333333333</v>
      </c>
      <c r="H364" s="36">
        <v>45658</v>
      </c>
      <c r="I364" s="11"/>
      <c r="J364" s="10" t="s">
        <v>24</v>
      </c>
      <c r="K364" s="12" t="s">
        <v>66</v>
      </c>
      <c r="L364" s="54">
        <f t="shared" si="136"/>
        <v>0</v>
      </c>
    </row>
    <row r="365" spans="1:12" hidden="1" x14ac:dyDescent="0.2">
      <c r="A365" s="9" t="s">
        <v>343</v>
      </c>
      <c r="B365" s="10" t="s">
        <v>349</v>
      </c>
      <c r="C365" s="10" t="s">
        <v>487</v>
      </c>
      <c r="D365" s="6" t="s">
        <v>622</v>
      </c>
      <c r="E365" s="6" t="s">
        <v>621</v>
      </c>
      <c r="F365" s="10" t="s">
        <v>523</v>
      </c>
      <c r="G365" s="48">
        <v>-167166.66666666666</v>
      </c>
      <c r="H365" s="36">
        <v>45658</v>
      </c>
      <c r="I365" s="11"/>
      <c r="J365" s="10" t="s">
        <v>24</v>
      </c>
      <c r="K365" s="12" t="s">
        <v>66</v>
      </c>
      <c r="L365" s="54">
        <f t="shared" si="136"/>
        <v>0</v>
      </c>
    </row>
    <row r="366" spans="1:12" hidden="1" x14ac:dyDescent="0.2">
      <c r="A366" s="5" t="s">
        <v>343</v>
      </c>
      <c r="B366" s="6" t="s">
        <v>349</v>
      </c>
      <c r="C366" s="6" t="s">
        <v>365</v>
      </c>
      <c r="D366" s="6" t="s">
        <v>622</v>
      </c>
      <c r="E366" s="6" t="s">
        <v>621</v>
      </c>
      <c r="F366" s="6" t="s">
        <v>546</v>
      </c>
      <c r="G366" s="49">
        <v>-170655.06</v>
      </c>
      <c r="H366" s="35">
        <v>45658</v>
      </c>
      <c r="I366" s="7"/>
      <c r="J366" s="6" t="s">
        <v>24</v>
      </c>
      <c r="K366" s="8" t="s">
        <v>66</v>
      </c>
      <c r="L366" s="54">
        <f t="shared" si="136"/>
        <v>0</v>
      </c>
    </row>
    <row r="367" spans="1:12" hidden="1" x14ac:dyDescent="0.2">
      <c r="A367" s="9" t="s">
        <v>343</v>
      </c>
      <c r="B367" s="10" t="s">
        <v>349</v>
      </c>
      <c r="C367" s="10" t="s">
        <v>365</v>
      </c>
      <c r="D367" s="6" t="s">
        <v>622</v>
      </c>
      <c r="E367" s="6" t="s">
        <v>621</v>
      </c>
      <c r="F367" s="10" t="s">
        <v>547</v>
      </c>
      <c r="G367" s="48">
        <v>-173379.696</v>
      </c>
      <c r="H367" s="36">
        <v>45658</v>
      </c>
      <c r="I367" s="11"/>
      <c r="J367" s="10" t="s">
        <v>24</v>
      </c>
      <c r="K367" s="12" t="s">
        <v>66</v>
      </c>
      <c r="L367" s="54">
        <f t="shared" ref="L367:L371" si="137">(ISNUMBER(G367))-1</f>
        <v>0</v>
      </c>
    </row>
    <row r="368" spans="1:12" hidden="1" x14ac:dyDescent="0.2">
      <c r="A368" s="9" t="s">
        <v>343</v>
      </c>
      <c r="B368" s="10" t="s">
        <v>349</v>
      </c>
      <c r="C368" s="10" t="s">
        <v>487</v>
      </c>
      <c r="D368" s="6" t="s">
        <v>622</v>
      </c>
      <c r="E368" s="6" t="s">
        <v>621</v>
      </c>
      <c r="F368" s="10" t="s">
        <v>529</v>
      </c>
      <c r="G368" s="48">
        <v>-177000</v>
      </c>
      <c r="H368" s="36">
        <v>45658</v>
      </c>
      <c r="I368" s="11"/>
      <c r="J368" s="10" t="s">
        <v>24</v>
      </c>
      <c r="K368" s="12" t="s">
        <v>66</v>
      </c>
      <c r="L368" s="54">
        <f t="shared" si="137"/>
        <v>0</v>
      </c>
    </row>
    <row r="369" spans="1:12" hidden="1" x14ac:dyDescent="0.2">
      <c r="A369" s="5" t="s">
        <v>263</v>
      </c>
      <c r="B369" s="6" t="s">
        <v>301</v>
      </c>
      <c r="C369" s="6" t="s">
        <v>301</v>
      </c>
      <c r="D369" s="6" t="s">
        <v>38</v>
      </c>
      <c r="E369" s="6" t="s">
        <v>621</v>
      </c>
      <c r="F369" s="6" t="s">
        <v>322</v>
      </c>
      <c r="G369" s="49">
        <v>-178000</v>
      </c>
      <c r="H369" s="35">
        <v>45658</v>
      </c>
      <c r="I369" s="7"/>
      <c r="J369" s="6" t="s">
        <v>24</v>
      </c>
      <c r="K369" s="8" t="s">
        <v>266</v>
      </c>
      <c r="L369" s="54">
        <f t="shared" si="137"/>
        <v>0</v>
      </c>
    </row>
    <row r="370" spans="1:12" hidden="1" x14ac:dyDescent="0.2">
      <c r="A370" s="9" t="s">
        <v>343</v>
      </c>
      <c r="B370" s="10" t="s">
        <v>349</v>
      </c>
      <c r="C370" s="10" t="s">
        <v>365</v>
      </c>
      <c r="D370" s="6" t="s">
        <v>622</v>
      </c>
      <c r="E370" s="6" t="s">
        <v>621</v>
      </c>
      <c r="F370" s="10" t="s">
        <v>555</v>
      </c>
      <c r="G370" s="48">
        <v>-179315.19999999998</v>
      </c>
      <c r="H370" s="36">
        <v>45658</v>
      </c>
      <c r="I370" s="11"/>
      <c r="J370" s="10" t="s">
        <v>24</v>
      </c>
      <c r="K370" s="12" t="s">
        <v>66</v>
      </c>
      <c r="L370" s="54">
        <f t="shared" si="137"/>
        <v>0</v>
      </c>
    </row>
    <row r="371" spans="1:12" hidden="1" x14ac:dyDescent="0.2">
      <c r="A371" s="9" t="s">
        <v>343</v>
      </c>
      <c r="B371" s="10" t="s">
        <v>349</v>
      </c>
      <c r="C371" s="10" t="s">
        <v>352</v>
      </c>
      <c r="D371" s="6" t="s">
        <v>622</v>
      </c>
      <c r="E371" s="6" t="s">
        <v>621</v>
      </c>
      <c r="F371" s="10" t="s">
        <v>382</v>
      </c>
      <c r="G371" s="48">
        <v>-180916.67</v>
      </c>
      <c r="H371" s="36">
        <v>45658</v>
      </c>
      <c r="I371" s="11"/>
      <c r="J371" s="10" t="s">
        <v>24</v>
      </c>
      <c r="K371" s="12" t="s">
        <v>66</v>
      </c>
      <c r="L371" s="54">
        <f t="shared" si="137"/>
        <v>0</v>
      </c>
    </row>
    <row r="372" spans="1:12" hidden="1" x14ac:dyDescent="0.2">
      <c r="A372" s="9" t="s">
        <v>81</v>
      </c>
      <c r="B372" s="10" t="s">
        <v>168</v>
      </c>
      <c r="C372" s="10" t="s">
        <v>186</v>
      </c>
      <c r="D372" s="6" t="s">
        <v>622</v>
      </c>
      <c r="E372" s="6" t="s">
        <v>621</v>
      </c>
      <c r="F372" s="10" t="s">
        <v>190</v>
      </c>
      <c r="G372" s="48">
        <v>-181914.58</v>
      </c>
      <c r="H372" s="36">
        <v>45658</v>
      </c>
      <c r="I372" s="11"/>
      <c r="J372" s="10" t="s">
        <v>24</v>
      </c>
      <c r="K372" s="12" t="s">
        <v>66</v>
      </c>
      <c r="L372" s="54">
        <f t="shared" ref="L372:L377" si="138">(ISNUMBER(G372))-1</f>
        <v>0</v>
      </c>
    </row>
    <row r="373" spans="1:12" hidden="1" x14ac:dyDescent="0.2">
      <c r="A373" s="5" t="s">
        <v>343</v>
      </c>
      <c r="B373" s="6" t="s">
        <v>411</v>
      </c>
      <c r="C373" s="6" t="e">
        <f>Data_BI!#REF!</f>
        <v>#REF!</v>
      </c>
      <c r="D373" s="6" t="s">
        <v>622</v>
      </c>
      <c r="E373" s="6" t="s">
        <v>621</v>
      </c>
      <c r="F373" s="6" t="s">
        <v>428</v>
      </c>
      <c r="G373" s="49">
        <v>-183066.75</v>
      </c>
      <c r="H373" s="35">
        <v>45658</v>
      </c>
      <c r="I373" s="7"/>
      <c r="J373" s="6" t="s">
        <v>24</v>
      </c>
      <c r="K373" s="8" t="s">
        <v>66</v>
      </c>
      <c r="L373" s="54">
        <f t="shared" si="138"/>
        <v>0</v>
      </c>
    </row>
    <row r="374" spans="1:12" hidden="1" x14ac:dyDescent="0.2">
      <c r="A374" s="9" t="s">
        <v>343</v>
      </c>
      <c r="B374" s="10" t="s">
        <v>349</v>
      </c>
      <c r="C374" s="10" t="s">
        <v>487</v>
      </c>
      <c r="D374" s="6" t="s">
        <v>622</v>
      </c>
      <c r="E374" s="6" t="s">
        <v>621</v>
      </c>
      <c r="F374" s="10" t="s">
        <v>521</v>
      </c>
      <c r="G374" s="48">
        <v>-183677.45333333334</v>
      </c>
      <c r="H374" s="36">
        <v>45658</v>
      </c>
      <c r="I374" s="11"/>
      <c r="J374" s="10" t="s">
        <v>24</v>
      </c>
      <c r="K374" s="12" t="s">
        <v>66</v>
      </c>
      <c r="L374" s="54">
        <f t="shared" si="138"/>
        <v>0</v>
      </c>
    </row>
    <row r="375" spans="1:12" hidden="1" x14ac:dyDescent="0.2">
      <c r="A375" s="9" t="s">
        <v>343</v>
      </c>
      <c r="B375" s="10" t="s">
        <v>349</v>
      </c>
      <c r="C375" s="10" t="s">
        <v>487</v>
      </c>
      <c r="D375" s="6" t="s">
        <v>622</v>
      </c>
      <c r="E375" s="6" t="s">
        <v>621</v>
      </c>
      <c r="F375" s="10" t="s">
        <v>499</v>
      </c>
      <c r="G375" s="48">
        <v>-188458.06666666665</v>
      </c>
      <c r="H375" s="36">
        <v>45658</v>
      </c>
      <c r="I375" s="11"/>
      <c r="J375" s="10" t="s">
        <v>24</v>
      </c>
      <c r="K375" s="12" t="s">
        <v>66</v>
      </c>
      <c r="L375" s="54">
        <f t="shared" si="138"/>
        <v>0</v>
      </c>
    </row>
    <row r="376" spans="1:12" hidden="1" x14ac:dyDescent="0.2">
      <c r="A376" s="9" t="s">
        <v>343</v>
      </c>
      <c r="B376" s="10" t="s">
        <v>349</v>
      </c>
      <c r="C376" s="10" t="s">
        <v>487</v>
      </c>
      <c r="D376" s="6" t="s">
        <v>622</v>
      </c>
      <c r="E376" s="6" t="s">
        <v>621</v>
      </c>
      <c r="F376" s="10" t="s">
        <v>497</v>
      </c>
      <c r="G376" s="48">
        <v>-191315.88333333333</v>
      </c>
      <c r="H376" s="36">
        <v>45658</v>
      </c>
      <c r="I376" s="11"/>
      <c r="J376" s="10" t="s">
        <v>24</v>
      </c>
      <c r="K376" s="12" t="s">
        <v>66</v>
      </c>
      <c r="L376" s="54">
        <f t="shared" si="138"/>
        <v>0</v>
      </c>
    </row>
    <row r="377" spans="1:12" hidden="1" x14ac:dyDescent="0.2">
      <c r="A377" s="5" t="s">
        <v>343</v>
      </c>
      <c r="B377" s="6" t="s">
        <v>349</v>
      </c>
      <c r="C377" s="6" t="s">
        <v>365</v>
      </c>
      <c r="D377" s="6" t="s">
        <v>622</v>
      </c>
      <c r="E377" s="6" t="s">
        <v>621</v>
      </c>
      <c r="F377" s="6" t="s">
        <v>558</v>
      </c>
      <c r="G377" s="49">
        <v>-192866.66666666666</v>
      </c>
      <c r="H377" s="35">
        <v>45658</v>
      </c>
      <c r="I377" s="7"/>
      <c r="J377" s="6" t="s">
        <v>24</v>
      </c>
      <c r="K377" s="8" t="s">
        <v>66</v>
      </c>
      <c r="L377" s="54">
        <f t="shared" si="138"/>
        <v>0</v>
      </c>
    </row>
    <row r="378" spans="1:12" hidden="1" x14ac:dyDescent="0.2">
      <c r="A378" s="5" t="s">
        <v>81</v>
      </c>
      <c r="B378" s="6" t="s">
        <v>168</v>
      </c>
      <c r="C378" s="6" t="s">
        <v>186</v>
      </c>
      <c r="D378" s="6" t="s">
        <v>622</v>
      </c>
      <c r="E378" s="6" t="s">
        <v>621</v>
      </c>
      <c r="F378" s="6" t="s">
        <v>189</v>
      </c>
      <c r="G378" s="49">
        <v>-194336.34</v>
      </c>
      <c r="H378" s="35">
        <v>45658</v>
      </c>
      <c r="I378" s="7"/>
      <c r="J378" s="6" t="s">
        <v>24</v>
      </c>
      <c r="K378" s="8" t="s">
        <v>66</v>
      </c>
      <c r="L378" s="54">
        <f t="shared" ref="L378:L380" si="139">(ISNUMBER(G378))-1</f>
        <v>0</v>
      </c>
    </row>
    <row r="379" spans="1:12" hidden="1" x14ac:dyDescent="0.2">
      <c r="A379" s="9" t="s">
        <v>194</v>
      </c>
      <c r="B379" s="10" t="s">
        <v>336</v>
      </c>
      <c r="C379" s="10" t="s">
        <v>336</v>
      </c>
      <c r="D379" s="6" t="s">
        <v>622</v>
      </c>
      <c r="E379" s="6" t="s">
        <v>621</v>
      </c>
      <c r="F379" s="10" t="s">
        <v>393</v>
      </c>
      <c r="G379" s="48">
        <v>-197146.09</v>
      </c>
      <c r="H379" s="36">
        <v>45658</v>
      </c>
      <c r="I379" s="11" t="s">
        <v>173</v>
      </c>
      <c r="J379" s="10" t="s">
        <v>24</v>
      </c>
      <c r="K379" s="12" t="s">
        <v>66</v>
      </c>
      <c r="L379" s="54">
        <f t="shared" si="139"/>
        <v>0</v>
      </c>
    </row>
    <row r="380" spans="1:12" hidden="1" x14ac:dyDescent="0.2">
      <c r="A380" s="9" t="s">
        <v>81</v>
      </c>
      <c r="B380" s="10" t="s">
        <v>168</v>
      </c>
      <c r="C380" s="10" t="s">
        <v>181</v>
      </c>
      <c r="D380" s="6" t="s">
        <v>622</v>
      </c>
      <c r="E380" s="6" t="s">
        <v>621</v>
      </c>
      <c r="F380" s="10" t="s">
        <v>183</v>
      </c>
      <c r="G380" s="48">
        <v>-210575.34</v>
      </c>
      <c r="H380" s="36">
        <v>45658</v>
      </c>
      <c r="I380" s="11"/>
      <c r="J380" s="10" t="s">
        <v>24</v>
      </c>
      <c r="K380" s="12" t="s">
        <v>66</v>
      </c>
      <c r="L380" s="54">
        <f t="shared" si="139"/>
        <v>0</v>
      </c>
    </row>
    <row r="381" spans="1:12" hidden="1" x14ac:dyDescent="0.2">
      <c r="A381" s="9" t="s">
        <v>343</v>
      </c>
      <c r="B381" s="10" t="s">
        <v>349</v>
      </c>
      <c r="C381" s="10" t="s">
        <v>365</v>
      </c>
      <c r="D381" s="6" t="s">
        <v>622</v>
      </c>
      <c r="E381" s="6" t="s">
        <v>621</v>
      </c>
      <c r="F381" s="10" t="s">
        <v>543</v>
      </c>
      <c r="G381" s="48">
        <v>-212106.16</v>
      </c>
      <c r="H381" s="36">
        <v>45658</v>
      </c>
      <c r="I381" s="11"/>
      <c r="J381" s="10" t="s">
        <v>24</v>
      </c>
      <c r="K381" s="12" t="s">
        <v>66</v>
      </c>
      <c r="L381" s="54">
        <f t="shared" ref="L381:L386" si="140">(ISNUMBER(G381))-1</f>
        <v>0</v>
      </c>
    </row>
    <row r="382" spans="1:12" hidden="1" x14ac:dyDescent="0.2">
      <c r="A382" s="5" t="s">
        <v>343</v>
      </c>
      <c r="B382" s="6" t="s">
        <v>349</v>
      </c>
      <c r="C382" s="6" t="s">
        <v>365</v>
      </c>
      <c r="D382" s="6" t="s">
        <v>622</v>
      </c>
      <c r="E382" s="6" t="s">
        <v>621</v>
      </c>
      <c r="F382" s="6" t="s">
        <v>580</v>
      </c>
      <c r="G382" s="49">
        <v>-217550</v>
      </c>
      <c r="H382" s="35">
        <v>45658</v>
      </c>
      <c r="I382" s="7"/>
      <c r="J382" s="6" t="s">
        <v>24</v>
      </c>
      <c r="K382" s="8" t="s">
        <v>66</v>
      </c>
      <c r="L382" s="54">
        <f t="shared" si="140"/>
        <v>0</v>
      </c>
    </row>
    <row r="383" spans="1:12" hidden="1" x14ac:dyDescent="0.2">
      <c r="A383" s="9" t="s">
        <v>343</v>
      </c>
      <c r="B383" s="10" t="s">
        <v>349</v>
      </c>
      <c r="C383" s="10" t="s">
        <v>487</v>
      </c>
      <c r="D383" s="6" t="s">
        <v>622</v>
      </c>
      <c r="E383" s="6" t="s">
        <v>621</v>
      </c>
      <c r="F383" s="10" t="s">
        <v>535</v>
      </c>
      <c r="G383" s="48">
        <v>-217740</v>
      </c>
      <c r="H383" s="36">
        <v>45658</v>
      </c>
      <c r="I383" s="11"/>
      <c r="J383" s="10" t="s">
        <v>24</v>
      </c>
      <c r="K383" s="12" t="s">
        <v>66</v>
      </c>
      <c r="L383" s="54">
        <f t="shared" si="140"/>
        <v>0</v>
      </c>
    </row>
    <row r="384" spans="1:12" hidden="1" x14ac:dyDescent="0.2">
      <c r="A384" s="9" t="s">
        <v>440</v>
      </c>
      <c r="B384" s="10" t="s">
        <v>440</v>
      </c>
      <c r="C384" s="10" t="e">
        <f>Data_BI!#REF!</f>
        <v>#REF!</v>
      </c>
      <c r="D384" s="6" t="s">
        <v>622</v>
      </c>
      <c r="E384" s="6" t="s">
        <v>621</v>
      </c>
      <c r="F384" s="10" t="s">
        <v>478</v>
      </c>
      <c r="G384" s="48">
        <v>-218921</v>
      </c>
      <c r="H384" s="36">
        <v>45658</v>
      </c>
      <c r="I384" s="11"/>
      <c r="J384" s="10" t="s">
        <v>24</v>
      </c>
      <c r="K384" s="12" t="s">
        <v>442</v>
      </c>
      <c r="L384" s="54">
        <f t="shared" si="140"/>
        <v>0</v>
      </c>
    </row>
    <row r="385" spans="1:12" hidden="1" x14ac:dyDescent="0.2">
      <c r="A385" s="9" t="s">
        <v>263</v>
      </c>
      <c r="B385" s="10" t="s">
        <v>301</v>
      </c>
      <c r="C385" s="10" t="s">
        <v>301</v>
      </c>
      <c r="D385" s="6" t="s">
        <v>622</v>
      </c>
      <c r="E385" s="6" t="s">
        <v>621</v>
      </c>
      <c r="F385" s="10" t="s">
        <v>282</v>
      </c>
      <c r="G385" s="48">
        <v>-219669.02</v>
      </c>
      <c r="H385" s="36">
        <v>45658</v>
      </c>
      <c r="I385" s="11"/>
      <c r="J385" s="10" t="s">
        <v>24</v>
      </c>
      <c r="K385" s="8" t="s">
        <v>266</v>
      </c>
      <c r="L385" s="54">
        <f t="shared" si="140"/>
        <v>0</v>
      </c>
    </row>
    <row r="386" spans="1:12" hidden="1" x14ac:dyDescent="0.2">
      <c r="A386" s="5" t="s">
        <v>440</v>
      </c>
      <c r="B386" s="6" t="s">
        <v>440</v>
      </c>
      <c r="C386" s="6" t="e">
        <f>Data_BI!#REF!</f>
        <v>#REF!</v>
      </c>
      <c r="D386" s="6" t="s">
        <v>622</v>
      </c>
      <c r="E386" s="6" t="s">
        <v>621</v>
      </c>
      <c r="F386" s="6" t="s">
        <v>477</v>
      </c>
      <c r="G386" s="49">
        <v>-219874</v>
      </c>
      <c r="H386" s="35">
        <v>45658</v>
      </c>
      <c r="I386" s="7"/>
      <c r="J386" s="6" t="s">
        <v>24</v>
      </c>
      <c r="K386" s="8" t="s">
        <v>442</v>
      </c>
      <c r="L386" s="54">
        <f t="shared" si="140"/>
        <v>0</v>
      </c>
    </row>
    <row r="387" spans="1:12" hidden="1" x14ac:dyDescent="0.2">
      <c r="A387" s="5" t="s">
        <v>343</v>
      </c>
      <c r="B387" s="6" t="s">
        <v>349</v>
      </c>
      <c r="C387" s="6" t="s">
        <v>365</v>
      </c>
      <c r="D387" s="6" t="s">
        <v>622</v>
      </c>
      <c r="E387" s="6" t="s">
        <v>621</v>
      </c>
      <c r="F387" s="6" t="s">
        <v>548</v>
      </c>
      <c r="G387" s="49">
        <v>-231066.66666666666</v>
      </c>
      <c r="H387" s="35">
        <v>45658</v>
      </c>
      <c r="I387" s="7"/>
      <c r="J387" s="6" t="s">
        <v>24</v>
      </c>
      <c r="K387" s="8" t="s">
        <v>66</v>
      </c>
      <c r="L387" s="54">
        <f t="shared" ref="L387" si="141">(ISNUMBER(G387))-1</f>
        <v>0</v>
      </c>
    </row>
    <row r="388" spans="1:12" hidden="1" x14ac:dyDescent="0.2">
      <c r="A388" s="9" t="s">
        <v>343</v>
      </c>
      <c r="B388" s="10" t="s">
        <v>349</v>
      </c>
      <c r="C388" s="10" t="s">
        <v>352</v>
      </c>
      <c r="D388" s="6" t="s">
        <v>622</v>
      </c>
      <c r="E388" s="6" t="s">
        <v>621</v>
      </c>
      <c r="F388" s="10" t="s">
        <v>384</v>
      </c>
      <c r="G388" s="48">
        <v>-242573.33333333331</v>
      </c>
      <c r="H388" s="36">
        <v>45658</v>
      </c>
      <c r="I388" s="11"/>
      <c r="J388" s="10" t="s">
        <v>24</v>
      </c>
      <c r="K388" s="12" t="s">
        <v>66</v>
      </c>
      <c r="L388" s="54">
        <f t="shared" ref="L388:L393" si="142">(ISNUMBER(G388))-1</f>
        <v>0</v>
      </c>
    </row>
    <row r="389" spans="1:12" hidden="1" x14ac:dyDescent="0.2">
      <c r="A389" s="5" t="s">
        <v>343</v>
      </c>
      <c r="B389" s="6" t="s">
        <v>349</v>
      </c>
      <c r="C389" s="6" t="s">
        <v>487</v>
      </c>
      <c r="D389" s="6" t="s">
        <v>622</v>
      </c>
      <c r="E389" s="6" t="s">
        <v>621</v>
      </c>
      <c r="F389" s="6" t="s">
        <v>510</v>
      </c>
      <c r="G389" s="49">
        <v>-243075</v>
      </c>
      <c r="H389" s="35">
        <v>45658</v>
      </c>
      <c r="I389" s="7"/>
      <c r="J389" s="6" t="s">
        <v>24</v>
      </c>
      <c r="K389" s="8" t="s">
        <v>66</v>
      </c>
      <c r="L389" s="54">
        <f t="shared" si="142"/>
        <v>0</v>
      </c>
    </row>
    <row r="390" spans="1:12" hidden="1" x14ac:dyDescent="0.2">
      <c r="A390" s="9" t="s">
        <v>343</v>
      </c>
      <c r="B390" s="10" t="s">
        <v>349</v>
      </c>
      <c r="C390" s="10" t="s">
        <v>365</v>
      </c>
      <c r="D390" s="6" t="s">
        <v>622</v>
      </c>
      <c r="E390" s="6" t="s">
        <v>621</v>
      </c>
      <c r="F390" s="10" t="s">
        <v>565</v>
      </c>
      <c r="G390" s="48">
        <v>-249600.00100000002</v>
      </c>
      <c r="H390" s="36">
        <v>45658</v>
      </c>
      <c r="I390" s="11"/>
      <c r="J390" s="10" t="s">
        <v>24</v>
      </c>
      <c r="K390" s="12" t="s">
        <v>66</v>
      </c>
      <c r="L390" s="54">
        <f t="shared" si="142"/>
        <v>0</v>
      </c>
    </row>
    <row r="391" spans="1:12" hidden="1" x14ac:dyDescent="0.2">
      <c r="A391" s="9" t="s">
        <v>343</v>
      </c>
      <c r="B391" s="10" t="s">
        <v>349</v>
      </c>
      <c r="C391" s="10" t="s">
        <v>365</v>
      </c>
      <c r="D391" s="6" t="s">
        <v>622</v>
      </c>
      <c r="E391" s="6" t="s">
        <v>621</v>
      </c>
      <c r="F391" s="10" t="s">
        <v>581</v>
      </c>
      <c r="G391" s="48">
        <v>-249706.04333333331</v>
      </c>
      <c r="H391" s="36">
        <v>45658</v>
      </c>
      <c r="I391" s="11"/>
      <c r="J391" s="10" t="s">
        <v>24</v>
      </c>
      <c r="K391" s="12" t="s">
        <v>66</v>
      </c>
      <c r="L391" s="54">
        <f t="shared" si="142"/>
        <v>0</v>
      </c>
    </row>
    <row r="392" spans="1:12" hidden="1" x14ac:dyDescent="0.2">
      <c r="A392" s="5" t="s">
        <v>343</v>
      </c>
      <c r="B392" s="6" t="s">
        <v>349</v>
      </c>
      <c r="C392" s="6" t="s">
        <v>487</v>
      </c>
      <c r="D392" s="6" t="s">
        <v>622</v>
      </c>
      <c r="E392" s="6" t="s">
        <v>621</v>
      </c>
      <c r="F392" s="6" t="s">
        <v>536</v>
      </c>
      <c r="G392" s="49">
        <v>-250000</v>
      </c>
      <c r="H392" s="35">
        <v>45658</v>
      </c>
      <c r="I392" s="7"/>
      <c r="J392" s="6" t="s">
        <v>24</v>
      </c>
      <c r="K392" s="8" t="s">
        <v>66</v>
      </c>
      <c r="L392" s="54">
        <f t="shared" si="142"/>
        <v>0</v>
      </c>
    </row>
    <row r="393" spans="1:12" hidden="1" x14ac:dyDescent="0.2">
      <c r="A393" s="9" t="s">
        <v>440</v>
      </c>
      <c r="B393" s="10" t="s">
        <v>440</v>
      </c>
      <c r="C393" s="10" t="e">
        <f>Data_BI!#REF!</f>
        <v>#REF!</v>
      </c>
      <c r="D393" s="6" t="s">
        <v>622</v>
      </c>
      <c r="E393" s="6" t="s">
        <v>621</v>
      </c>
      <c r="F393" s="10" t="s">
        <v>476</v>
      </c>
      <c r="G393" s="48">
        <v>-251817</v>
      </c>
      <c r="H393" s="36">
        <v>45658</v>
      </c>
      <c r="I393" s="11"/>
      <c r="J393" s="10" t="s">
        <v>24</v>
      </c>
      <c r="K393" s="12" t="s">
        <v>442</v>
      </c>
      <c r="L393" s="54">
        <f t="shared" si="142"/>
        <v>0</v>
      </c>
    </row>
    <row r="394" spans="1:12" hidden="1" x14ac:dyDescent="0.2">
      <c r="A394" s="9" t="s">
        <v>343</v>
      </c>
      <c r="B394" s="10" t="s">
        <v>349</v>
      </c>
      <c r="C394" s="10" t="s">
        <v>365</v>
      </c>
      <c r="D394" s="6" t="s">
        <v>622</v>
      </c>
      <c r="E394" s="6" t="s">
        <v>621</v>
      </c>
      <c r="F394" s="10" t="s">
        <v>575</v>
      </c>
      <c r="G394" s="48">
        <v>-252098.58</v>
      </c>
      <c r="H394" s="36">
        <v>45658</v>
      </c>
      <c r="I394" s="11"/>
      <c r="J394" s="10" t="s">
        <v>24</v>
      </c>
      <c r="K394" s="12" t="s">
        <v>66</v>
      </c>
      <c r="L394" s="54">
        <f t="shared" ref="L394:L402" si="143">(ISNUMBER(G394))-1</f>
        <v>0</v>
      </c>
    </row>
    <row r="395" spans="1:12" hidden="1" x14ac:dyDescent="0.2">
      <c r="A395" s="9" t="s">
        <v>343</v>
      </c>
      <c r="B395" s="10" t="s">
        <v>349</v>
      </c>
      <c r="C395" s="10" t="s">
        <v>487</v>
      </c>
      <c r="D395" s="6" t="s">
        <v>622</v>
      </c>
      <c r="E395" s="6" t="s">
        <v>621</v>
      </c>
      <c r="F395" s="10" t="s">
        <v>517</v>
      </c>
      <c r="G395" s="48">
        <v>-256138.74</v>
      </c>
      <c r="H395" s="36">
        <v>45658</v>
      </c>
      <c r="I395" s="11"/>
      <c r="J395" s="10" t="s">
        <v>24</v>
      </c>
      <c r="K395" s="12" t="s">
        <v>66</v>
      </c>
      <c r="L395" s="54">
        <f t="shared" si="143"/>
        <v>0</v>
      </c>
    </row>
    <row r="396" spans="1:12" hidden="1" x14ac:dyDescent="0.2">
      <c r="A396" s="5" t="s">
        <v>440</v>
      </c>
      <c r="B396" s="6" t="s">
        <v>440</v>
      </c>
      <c r="C396" s="6" t="e">
        <f>Data_BI!#REF!</f>
        <v>#REF!</v>
      </c>
      <c r="D396" s="6" t="s">
        <v>622</v>
      </c>
      <c r="E396" s="6" t="s">
        <v>621</v>
      </c>
      <c r="F396" s="6" t="s">
        <v>475</v>
      </c>
      <c r="G396" s="49">
        <v>-256960</v>
      </c>
      <c r="H396" s="35">
        <v>45658</v>
      </c>
      <c r="I396" s="7"/>
      <c r="J396" s="6" t="s">
        <v>24</v>
      </c>
      <c r="K396" s="8" t="s">
        <v>442</v>
      </c>
      <c r="L396" s="54">
        <f t="shared" si="143"/>
        <v>0</v>
      </c>
    </row>
    <row r="397" spans="1:12" hidden="1" x14ac:dyDescent="0.2">
      <c r="A397" s="5" t="s">
        <v>343</v>
      </c>
      <c r="B397" s="6" t="s">
        <v>349</v>
      </c>
      <c r="C397" s="6" t="s">
        <v>365</v>
      </c>
      <c r="D397" s="6" t="s">
        <v>622</v>
      </c>
      <c r="E397" s="6" t="s">
        <v>621</v>
      </c>
      <c r="F397" s="6" t="s">
        <v>564</v>
      </c>
      <c r="G397" s="49">
        <v>-257704.63999999998</v>
      </c>
      <c r="H397" s="35">
        <v>45658</v>
      </c>
      <c r="I397" s="7"/>
      <c r="J397" s="6" t="s">
        <v>24</v>
      </c>
      <c r="K397" s="8" t="s">
        <v>66</v>
      </c>
      <c r="L397" s="54">
        <f t="shared" si="143"/>
        <v>0</v>
      </c>
    </row>
    <row r="398" spans="1:12" hidden="1" x14ac:dyDescent="0.2">
      <c r="A398" s="5" t="s">
        <v>343</v>
      </c>
      <c r="B398" s="6" t="s">
        <v>349</v>
      </c>
      <c r="C398" s="6" t="s">
        <v>365</v>
      </c>
      <c r="D398" s="6" t="s">
        <v>622</v>
      </c>
      <c r="E398" s="6" t="s">
        <v>621</v>
      </c>
      <c r="F398" s="6" t="s">
        <v>582</v>
      </c>
      <c r="G398" s="49">
        <v>-258049.20000000004</v>
      </c>
      <c r="H398" s="35">
        <v>45658</v>
      </c>
      <c r="I398" s="7"/>
      <c r="J398" s="6" t="s">
        <v>24</v>
      </c>
      <c r="K398" s="8" t="s">
        <v>66</v>
      </c>
      <c r="L398" s="54">
        <f t="shared" si="143"/>
        <v>0</v>
      </c>
    </row>
    <row r="399" spans="1:12" hidden="1" x14ac:dyDescent="0.2">
      <c r="A399" s="9" t="s">
        <v>440</v>
      </c>
      <c r="B399" s="10" t="s">
        <v>440</v>
      </c>
      <c r="C399" s="10" t="e">
        <f>Data_BI!#REF!</f>
        <v>#REF!</v>
      </c>
      <c r="D399" s="6" t="s">
        <v>622</v>
      </c>
      <c r="E399" s="6" t="s">
        <v>621</v>
      </c>
      <c r="F399" s="10" t="s">
        <v>474</v>
      </c>
      <c r="G399" s="48">
        <v>-258278</v>
      </c>
      <c r="H399" s="36">
        <v>45658</v>
      </c>
      <c r="I399" s="11"/>
      <c r="J399" s="10" t="s">
        <v>24</v>
      </c>
      <c r="K399" s="12" t="s">
        <v>442</v>
      </c>
      <c r="L399" s="54">
        <f t="shared" si="143"/>
        <v>0</v>
      </c>
    </row>
    <row r="400" spans="1:12" hidden="1" x14ac:dyDescent="0.2">
      <c r="A400" s="5" t="s">
        <v>343</v>
      </c>
      <c r="B400" s="6" t="s">
        <v>349</v>
      </c>
      <c r="C400" s="6" t="s">
        <v>487</v>
      </c>
      <c r="D400" s="6" t="s">
        <v>622</v>
      </c>
      <c r="E400" s="6" t="s">
        <v>621</v>
      </c>
      <c r="F400" s="6" t="s">
        <v>503</v>
      </c>
      <c r="G400" s="49">
        <v>-258940</v>
      </c>
      <c r="H400" s="35">
        <v>45658</v>
      </c>
      <c r="I400" s="7"/>
      <c r="J400" s="6" t="s">
        <v>24</v>
      </c>
      <c r="K400" s="8" t="s">
        <v>66</v>
      </c>
      <c r="L400" s="54">
        <f t="shared" si="143"/>
        <v>0</v>
      </c>
    </row>
    <row r="401" spans="1:12" hidden="1" x14ac:dyDescent="0.2">
      <c r="A401" s="5" t="s">
        <v>440</v>
      </c>
      <c r="B401" s="6" t="s">
        <v>440</v>
      </c>
      <c r="C401" s="6" t="e">
        <f>Data_BI!#REF!</f>
        <v>#REF!</v>
      </c>
      <c r="D401" s="6" t="s">
        <v>622</v>
      </c>
      <c r="E401" s="6" t="s">
        <v>621</v>
      </c>
      <c r="F401" s="6" t="s">
        <v>473</v>
      </c>
      <c r="G401" s="49">
        <v>-260675</v>
      </c>
      <c r="H401" s="35">
        <v>45658</v>
      </c>
      <c r="I401" s="7"/>
      <c r="J401" s="6" t="s">
        <v>24</v>
      </c>
      <c r="K401" s="8" t="s">
        <v>442</v>
      </c>
      <c r="L401" s="54">
        <f t="shared" si="143"/>
        <v>0</v>
      </c>
    </row>
    <row r="402" spans="1:12" hidden="1" x14ac:dyDescent="0.2">
      <c r="A402" s="9" t="s">
        <v>15</v>
      </c>
      <c r="B402" s="10" t="s">
        <v>63</v>
      </c>
      <c r="C402" s="10" t="s">
        <v>27</v>
      </c>
      <c r="D402" s="6" t="s">
        <v>622</v>
      </c>
      <c r="E402" s="6" t="s">
        <v>621</v>
      </c>
      <c r="F402" s="10" t="s">
        <v>67</v>
      </c>
      <c r="G402" s="48">
        <v>-261331.53</v>
      </c>
      <c r="H402" s="36">
        <v>45658</v>
      </c>
      <c r="I402" s="11"/>
      <c r="J402" s="10" t="s">
        <v>24</v>
      </c>
      <c r="K402" s="12" t="s">
        <v>66</v>
      </c>
      <c r="L402" s="54">
        <f t="shared" si="143"/>
        <v>0</v>
      </c>
    </row>
    <row r="403" spans="1:12" hidden="1" x14ac:dyDescent="0.2">
      <c r="A403" s="9" t="s">
        <v>343</v>
      </c>
      <c r="B403" s="10" t="s">
        <v>349</v>
      </c>
      <c r="C403" s="10" t="s">
        <v>487</v>
      </c>
      <c r="D403" s="6" t="s">
        <v>622</v>
      </c>
      <c r="E403" s="6" t="s">
        <v>621</v>
      </c>
      <c r="F403" s="10" t="s">
        <v>537</v>
      </c>
      <c r="G403" s="48">
        <v>-261630</v>
      </c>
      <c r="H403" s="36">
        <v>45658</v>
      </c>
      <c r="I403" s="11"/>
      <c r="J403" s="10" t="s">
        <v>24</v>
      </c>
      <c r="K403" s="12" t="s">
        <v>66</v>
      </c>
      <c r="L403" s="54">
        <f t="shared" ref="L403:L407" si="144">(ISNUMBER(G403))-1</f>
        <v>0</v>
      </c>
    </row>
    <row r="404" spans="1:12" hidden="1" x14ac:dyDescent="0.2">
      <c r="A404" s="9" t="s">
        <v>343</v>
      </c>
      <c r="B404" s="10" t="s">
        <v>349</v>
      </c>
      <c r="C404" s="10" t="s">
        <v>487</v>
      </c>
      <c r="D404" s="6" t="s">
        <v>622</v>
      </c>
      <c r="E404" s="6" t="s">
        <v>621</v>
      </c>
      <c r="F404" s="10" t="s">
        <v>501</v>
      </c>
      <c r="G404" s="48">
        <v>-264000</v>
      </c>
      <c r="H404" s="36">
        <v>45658</v>
      </c>
      <c r="I404" s="11"/>
      <c r="J404" s="10" t="s">
        <v>24</v>
      </c>
      <c r="K404" s="12" t="s">
        <v>66</v>
      </c>
      <c r="L404" s="54">
        <f t="shared" si="144"/>
        <v>0</v>
      </c>
    </row>
    <row r="405" spans="1:12" hidden="1" x14ac:dyDescent="0.2">
      <c r="A405" s="9" t="s">
        <v>343</v>
      </c>
      <c r="B405" s="10" t="s">
        <v>349</v>
      </c>
      <c r="C405" s="10" t="s">
        <v>365</v>
      </c>
      <c r="D405" s="6" t="s">
        <v>622</v>
      </c>
      <c r="E405" s="6" t="s">
        <v>621</v>
      </c>
      <c r="F405" s="10" t="s">
        <v>567</v>
      </c>
      <c r="G405" s="48">
        <v>-268800</v>
      </c>
      <c r="H405" s="36">
        <v>45658</v>
      </c>
      <c r="I405" s="11"/>
      <c r="J405" s="10" t="s">
        <v>24</v>
      </c>
      <c r="K405" s="12" t="s">
        <v>66</v>
      </c>
      <c r="L405" s="54">
        <f t="shared" si="144"/>
        <v>0</v>
      </c>
    </row>
    <row r="406" spans="1:12" hidden="1" x14ac:dyDescent="0.2">
      <c r="A406" s="9" t="s">
        <v>343</v>
      </c>
      <c r="B406" s="10" t="s">
        <v>411</v>
      </c>
      <c r="C406" s="10" t="e">
        <f>Data_BI!#REF!</f>
        <v>#REF!</v>
      </c>
      <c r="D406" s="6" t="s">
        <v>622</v>
      </c>
      <c r="E406" s="6" t="s">
        <v>621</v>
      </c>
      <c r="F406" s="10" t="s">
        <v>427</v>
      </c>
      <c r="G406" s="48">
        <v>-270135</v>
      </c>
      <c r="H406" s="36">
        <v>45658</v>
      </c>
      <c r="I406" s="11"/>
      <c r="J406" s="10" t="s">
        <v>24</v>
      </c>
      <c r="K406" s="12" t="s">
        <v>66</v>
      </c>
      <c r="L406" s="54">
        <f t="shared" si="144"/>
        <v>0</v>
      </c>
    </row>
    <row r="407" spans="1:12" hidden="1" x14ac:dyDescent="0.2">
      <c r="A407" s="5" t="s">
        <v>343</v>
      </c>
      <c r="B407" s="6" t="s">
        <v>349</v>
      </c>
      <c r="C407" s="6" t="s">
        <v>487</v>
      </c>
      <c r="D407" s="6" t="s">
        <v>622</v>
      </c>
      <c r="E407" s="6" t="s">
        <v>621</v>
      </c>
      <c r="F407" s="6" t="s">
        <v>502</v>
      </c>
      <c r="G407" s="49">
        <v>-275520</v>
      </c>
      <c r="H407" s="35">
        <v>45658</v>
      </c>
      <c r="I407" s="7"/>
      <c r="J407" s="6" t="s">
        <v>24</v>
      </c>
      <c r="K407" s="8" t="s">
        <v>66</v>
      </c>
      <c r="L407" s="54">
        <f t="shared" si="144"/>
        <v>0</v>
      </c>
    </row>
    <row r="408" spans="1:12" hidden="1" x14ac:dyDescent="0.2">
      <c r="A408" s="5" t="s">
        <v>81</v>
      </c>
      <c r="B408" s="6" t="s">
        <v>168</v>
      </c>
      <c r="C408" s="6" t="s">
        <v>103</v>
      </c>
      <c r="D408" s="6" t="s">
        <v>622</v>
      </c>
      <c r="E408" s="6" t="s">
        <v>621</v>
      </c>
      <c r="F408" s="6" t="s">
        <v>106</v>
      </c>
      <c r="G408" s="49">
        <v>-282638.15000000002</v>
      </c>
      <c r="H408" s="35">
        <v>45658</v>
      </c>
      <c r="I408" s="7"/>
      <c r="J408" s="6" t="s">
        <v>24</v>
      </c>
      <c r="K408" s="8" t="s">
        <v>66</v>
      </c>
      <c r="L408" s="54">
        <f t="shared" ref="L408:L410" si="145">(ISNUMBER(G408))-1</f>
        <v>0</v>
      </c>
    </row>
    <row r="409" spans="1:12" hidden="1" x14ac:dyDescent="0.2">
      <c r="A409" s="9" t="s">
        <v>440</v>
      </c>
      <c r="B409" s="10" t="s">
        <v>440</v>
      </c>
      <c r="C409" s="10" t="e">
        <f>Data_BI!#REF!</f>
        <v>#REF!</v>
      </c>
      <c r="D409" s="6" t="s">
        <v>622</v>
      </c>
      <c r="E409" s="6" t="s">
        <v>621</v>
      </c>
      <c r="F409" s="10" t="s">
        <v>472</v>
      </c>
      <c r="G409" s="48">
        <v>-285235</v>
      </c>
      <c r="H409" s="36">
        <v>45658</v>
      </c>
      <c r="I409" s="11"/>
      <c r="J409" s="10" t="s">
        <v>24</v>
      </c>
      <c r="K409" s="12" t="s">
        <v>442</v>
      </c>
      <c r="L409" s="54">
        <f t="shared" si="145"/>
        <v>0</v>
      </c>
    </row>
    <row r="410" spans="1:12" hidden="1" x14ac:dyDescent="0.2">
      <c r="A410" s="5" t="s">
        <v>263</v>
      </c>
      <c r="B410" s="6" t="s">
        <v>301</v>
      </c>
      <c r="C410" s="6" t="s">
        <v>301</v>
      </c>
      <c r="D410" s="6" t="s">
        <v>38</v>
      </c>
      <c r="E410" s="6" t="s">
        <v>621</v>
      </c>
      <c r="F410" s="6" t="s">
        <v>321</v>
      </c>
      <c r="G410" s="49">
        <v>-293505.01</v>
      </c>
      <c r="H410" s="35">
        <v>45658</v>
      </c>
      <c r="I410" s="7"/>
      <c r="J410" s="6" t="s">
        <v>24</v>
      </c>
      <c r="K410" s="8" t="s">
        <v>266</v>
      </c>
      <c r="L410" s="54">
        <f t="shared" si="145"/>
        <v>0</v>
      </c>
    </row>
    <row r="411" spans="1:12" hidden="1" x14ac:dyDescent="0.2">
      <c r="A411" s="5" t="s">
        <v>440</v>
      </c>
      <c r="B411" s="6" t="s">
        <v>440</v>
      </c>
      <c r="C411" s="6" t="e">
        <f>Data_BI!#REF!</f>
        <v>#REF!</v>
      </c>
      <c r="D411" s="6" t="s">
        <v>622</v>
      </c>
      <c r="E411" s="6" t="s">
        <v>621</v>
      </c>
      <c r="F411" s="6" t="s">
        <v>471</v>
      </c>
      <c r="G411" s="49">
        <v>-300109</v>
      </c>
      <c r="H411" s="35">
        <v>45658</v>
      </c>
      <c r="I411" s="7"/>
      <c r="J411" s="6" t="s">
        <v>24</v>
      </c>
      <c r="K411" s="8" t="s">
        <v>442</v>
      </c>
      <c r="L411" s="54">
        <f t="shared" ref="L411:L417" si="146">(ISNUMBER(G411))-1</f>
        <v>0</v>
      </c>
    </row>
    <row r="412" spans="1:12" hidden="1" x14ac:dyDescent="0.2">
      <c r="A412" s="5" t="s">
        <v>343</v>
      </c>
      <c r="B412" s="6" t="s">
        <v>349</v>
      </c>
      <c r="C412" s="6" t="s">
        <v>487</v>
      </c>
      <c r="D412" s="6" t="s">
        <v>622</v>
      </c>
      <c r="E412" s="6" t="s">
        <v>621</v>
      </c>
      <c r="F412" s="6" t="s">
        <v>538</v>
      </c>
      <c r="G412" s="49">
        <v>-305613</v>
      </c>
      <c r="H412" s="35">
        <v>45658</v>
      </c>
      <c r="I412" s="7"/>
      <c r="J412" s="6" t="s">
        <v>24</v>
      </c>
      <c r="K412" s="8" t="s">
        <v>66</v>
      </c>
      <c r="L412" s="54">
        <f t="shared" si="146"/>
        <v>0</v>
      </c>
    </row>
    <row r="413" spans="1:12" hidden="1" x14ac:dyDescent="0.2">
      <c r="A413" s="9" t="s">
        <v>440</v>
      </c>
      <c r="B413" s="10" t="s">
        <v>440</v>
      </c>
      <c r="C413" s="10" t="e">
        <f>Data_BI!#REF!</f>
        <v>#REF!</v>
      </c>
      <c r="D413" s="6" t="s">
        <v>622</v>
      </c>
      <c r="E413" s="6" t="s">
        <v>621</v>
      </c>
      <c r="F413" s="10" t="s">
        <v>470</v>
      </c>
      <c r="G413" s="48">
        <v>-308618</v>
      </c>
      <c r="H413" s="36">
        <v>45658</v>
      </c>
      <c r="I413" s="11"/>
      <c r="J413" s="10" t="s">
        <v>24</v>
      </c>
      <c r="K413" s="12" t="s">
        <v>442</v>
      </c>
      <c r="L413" s="54">
        <f t="shared" si="146"/>
        <v>0</v>
      </c>
    </row>
    <row r="414" spans="1:12" hidden="1" x14ac:dyDescent="0.2">
      <c r="A414" s="9" t="s">
        <v>343</v>
      </c>
      <c r="B414" s="10" t="s">
        <v>349</v>
      </c>
      <c r="C414" s="10" t="s">
        <v>365</v>
      </c>
      <c r="D414" s="6" t="s">
        <v>622</v>
      </c>
      <c r="E414" s="6" t="s">
        <v>621</v>
      </c>
      <c r="F414" s="10" t="s">
        <v>551</v>
      </c>
      <c r="G414" s="48">
        <v>-311579.11333333334</v>
      </c>
      <c r="H414" s="36">
        <v>45658</v>
      </c>
      <c r="I414" s="11"/>
      <c r="J414" s="10" t="s">
        <v>24</v>
      </c>
      <c r="K414" s="12" t="s">
        <v>66</v>
      </c>
      <c r="L414" s="54">
        <f t="shared" si="146"/>
        <v>0</v>
      </c>
    </row>
    <row r="415" spans="1:12" hidden="1" x14ac:dyDescent="0.2">
      <c r="A415" s="5" t="s">
        <v>440</v>
      </c>
      <c r="B415" s="6" t="s">
        <v>440</v>
      </c>
      <c r="C415" s="6" t="e">
        <f>Data_BI!#REF!</f>
        <v>#REF!</v>
      </c>
      <c r="D415" s="6" t="s">
        <v>622</v>
      </c>
      <c r="E415" s="6" t="s">
        <v>621</v>
      </c>
      <c r="F415" s="6" t="s">
        <v>469</v>
      </c>
      <c r="G415" s="49">
        <v>-312143</v>
      </c>
      <c r="H415" s="35">
        <v>45658</v>
      </c>
      <c r="I415" s="7"/>
      <c r="J415" s="6" t="s">
        <v>24</v>
      </c>
      <c r="K415" s="8" t="s">
        <v>442</v>
      </c>
      <c r="L415" s="54">
        <f t="shared" si="146"/>
        <v>0</v>
      </c>
    </row>
    <row r="416" spans="1:12" hidden="1" x14ac:dyDescent="0.2">
      <c r="A416" s="9" t="s">
        <v>440</v>
      </c>
      <c r="B416" s="10" t="s">
        <v>440</v>
      </c>
      <c r="C416" s="10" t="str">
        <f>Data_BI!$B26</f>
        <v>Восстановление резервов</v>
      </c>
      <c r="D416" s="6" t="s">
        <v>622</v>
      </c>
      <c r="E416" s="6" t="s">
        <v>621</v>
      </c>
      <c r="F416" s="10" t="s">
        <v>468</v>
      </c>
      <c r="G416" s="48">
        <v>-316818</v>
      </c>
      <c r="H416" s="36">
        <v>45658</v>
      </c>
      <c r="I416" s="11"/>
      <c r="J416" s="10" t="s">
        <v>24</v>
      </c>
      <c r="K416" s="12" t="s">
        <v>442</v>
      </c>
      <c r="L416" s="54">
        <f t="shared" si="146"/>
        <v>0</v>
      </c>
    </row>
    <row r="417" spans="1:12" hidden="1" x14ac:dyDescent="0.2">
      <c r="A417" s="5" t="s">
        <v>440</v>
      </c>
      <c r="B417" s="6" t="s">
        <v>440</v>
      </c>
      <c r="C417" s="6" t="e">
        <f>Data_BI!#REF!</f>
        <v>#REF!</v>
      </c>
      <c r="D417" s="6" t="s">
        <v>622</v>
      </c>
      <c r="E417" s="6" t="s">
        <v>621</v>
      </c>
      <c r="F417" s="6" t="s">
        <v>467</v>
      </c>
      <c r="G417" s="49">
        <v>-317673</v>
      </c>
      <c r="H417" s="35">
        <v>45658</v>
      </c>
      <c r="I417" s="7"/>
      <c r="J417" s="6" t="s">
        <v>24</v>
      </c>
      <c r="K417" s="8" t="s">
        <v>442</v>
      </c>
      <c r="L417" s="54">
        <f t="shared" si="146"/>
        <v>0</v>
      </c>
    </row>
    <row r="418" spans="1:12" hidden="1" x14ac:dyDescent="0.2">
      <c r="A418" s="5" t="s">
        <v>194</v>
      </c>
      <c r="B418" s="6" t="s">
        <v>337</v>
      </c>
      <c r="C418" s="10" t="s">
        <v>338</v>
      </c>
      <c r="D418" s="6" t="s">
        <v>622</v>
      </c>
      <c r="E418" s="6" t="s">
        <v>621</v>
      </c>
      <c r="F418" s="6" t="s">
        <v>338</v>
      </c>
      <c r="G418" s="49">
        <v>-319985.37</v>
      </c>
      <c r="H418" s="35">
        <v>45658</v>
      </c>
      <c r="I418" s="7"/>
      <c r="J418" s="6" t="s">
        <v>24</v>
      </c>
      <c r="K418" s="8" t="s">
        <v>66</v>
      </c>
      <c r="L418" s="54">
        <f t="shared" ref="L418:L424" si="147">(ISNUMBER(G418))-1</f>
        <v>0</v>
      </c>
    </row>
    <row r="419" spans="1:12" hidden="1" x14ac:dyDescent="0.2">
      <c r="A419" s="9" t="s">
        <v>440</v>
      </c>
      <c r="B419" s="10" t="s">
        <v>440</v>
      </c>
      <c r="C419" s="10" t="e">
        <f>Data_BI!#REF!</f>
        <v>#REF!</v>
      </c>
      <c r="D419" s="6" t="s">
        <v>622</v>
      </c>
      <c r="E419" s="6" t="s">
        <v>621</v>
      </c>
      <c r="F419" s="10" t="s">
        <v>466</v>
      </c>
      <c r="G419" s="48">
        <v>-321879</v>
      </c>
      <c r="H419" s="36">
        <v>45658</v>
      </c>
      <c r="I419" s="11"/>
      <c r="J419" s="10" t="s">
        <v>24</v>
      </c>
      <c r="K419" s="12" t="s">
        <v>442</v>
      </c>
      <c r="L419" s="54">
        <f t="shared" si="147"/>
        <v>0</v>
      </c>
    </row>
    <row r="420" spans="1:12" hidden="1" x14ac:dyDescent="0.2">
      <c r="A420" s="5" t="s">
        <v>343</v>
      </c>
      <c r="B420" s="6" t="s">
        <v>349</v>
      </c>
      <c r="C420" s="6" t="s">
        <v>487</v>
      </c>
      <c r="D420" s="6" t="s">
        <v>622</v>
      </c>
      <c r="E420" s="6" t="s">
        <v>621</v>
      </c>
      <c r="F420" s="6" t="s">
        <v>522</v>
      </c>
      <c r="G420" s="49">
        <v>-322519</v>
      </c>
      <c r="H420" s="35">
        <v>45658</v>
      </c>
      <c r="I420" s="7"/>
      <c r="J420" s="6" t="s">
        <v>24</v>
      </c>
      <c r="K420" s="8" t="s">
        <v>66</v>
      </c>
      <c r="L420" s="54">
        <f t="shared" si="147"/>
        <v>0</v>
      </c>
    </row>
    <row r="421" spans="1:12" hidden="1" x14ac:dyDescent="0.2">
      <c r="A421" s="5" t="s">
        <v>440</v>
      </c>
      <c r="B421" s="6" t="s">
        <v>440</v>
      </c>
      <c r="C421" s="6" t="e">
        <f>Data_BI!#REF!</f>
        <v>#REF!</v>
      </c>
      <c r="D421" s="6" t="s">
        <v>622</v>
      </c>
      <c r="E421" s="6" t="s">
        <v>621</v>
      </c>
      <c r="F421" s="6" t="s">
        <v>465</v>
      </c>
      <c r="G421" s="49">
        <v>-325050</v>
      </c>
      <c r="H421" s="35">
        <v>45658</v>
      </c>
      <c r="I421" s="7"/>
      <c r="J421" s="6" t="s">
        <v>24</v>
      </c>
      <c r="K421" s="8" t="s">
        <v>442</v>
      </c>
      <c r="L421" s="54">
        <f t="shared" si="147"/>
        <v>0</v>
      </c>
    </row>
    <row r="422" spans="1:12" hidden="1" x14ac:dyDescent="0.2">
      <c r="A422" s="5" t="s">
        <v>343</v>
      </c>
      <c r="B422" s="6" t="s">
        <v>349</v>
      </c>
      <c r="C422" s="6" t="s">
        <v>487</v>
      </c>
      <c r="D422" s="6" t="s">
        <v>622</v>
      </c>
      <c r="E422" s="6" t="s">
        <v>621</v>
      </c>
      <c r="F422" s="6" t="s">
        <v>506</v>
      </c>
      <c r="G422" s="49">
        <v>-327283.74</v>
      </c>
      <c r="H422" s="35">
        <v>45658</v>
      </c>
      <c r="I422" s="7"/>
      <c r="J422" s="6" t="s">
        <v>24</v>
      </c>
      <c r="K422" s="8" t="s">
        <v>66</v>
      </c>
      <c r="L422" s="54">
        <f t="shared" si="147"/>
        <v>0</v>
      </c>
    </row>
    <row r="423" spans="1:12" hidden="1" x14ac:dyDescent="0.2">
      <c r="A423" s="5" t="s">
        <v>343</v>
      </c>
      <c r="B423" s="6" t="s">
        <v>349</v>
      </c>
      <c r="C423" s="6" t="s">
        <v>487</v>
      </c>
      <c r="D423" s="6" t="s">
        <v>622</v>
      </c>
      <c r="E423" s="6" t="s">
        <v>621</v>
      </c>
      <c r="F423" s="6" t="s">
        <v>530</v>
      </c>
      <c r="G423" s="49">
        <v>-330750</v>
      </c>
      <c r="H423" s="35">
        <v>45658</v>
      </c>
      <c r="I423" s="7"/>
      <c r="J423" s="6" t="s">
        <v>24</v>
      </c>
      <c r="K423" s="8" t="s">
        <v>66</v>
      </c>
      <c r="L423" s="54">
        <f t="shared" si="147"/>
        <v>0</v>
      </c>
    </row>
    <row r="424" spans="1:12" hidden="1" x14ac:dyDescent="0.2">
      <c r="A424" s="5" t="s">
        <v>343</v>
      </c>
      <c r="B424" s="6" t="s">
        <v>349</v>
      </c>
      <c r="C424" s="6" t="s">
        <v>487</v>
      </c>
      <c r="D424" s="6" t="s">
        <v>622</v>
      </c>
      <c r="E424" s="6" t="s">
        <v>621</v>
      </c>
      <c r="F424" s="10" t="s">
        <v>508</v>
      </c>
      <c r="G424" s="49">
        <v>-333360.66666666669</v>
      </c>
      <c r="H424" s="35">
        <v>45658</v>
      </c>
      <c r="I424" s="7"/>
      <c r="J424" s="6" t="s">
        <v>24</v>
      </c>
      <c r="K424" s="8" t="s">
        <v>66</v>
      </c>
      <c r="L424" s="54">
        <f t="shared" si="147"/>
        <v>0</v>
      </c>
    </row>
    <row r="425" spans="1:12" hidden="1" x14ac:dyDescent="0.2">
      <c r="A425" s="9" t="s">
        <v>81</v>
      </c>
      <c r="B425" s="10" t="s">
        <v>168</v>
      </c>
      <c r="C425" s="10" t="s">
        <v>94</v>
      </c>
      <c r="D425" s="6" t="s">
        <v>622</v>
      </c>
      <c r="E425" s="6" t="s">
        <v>621</v>
      </c>
      <c r="F425" s="10" t="s">
        <v>178</v>
      </c>
      <c r="G425" s="48">
        <v>-343105.48</v>
      </c>
      <c r="H425" s="36">
        <v>45658</v>
      </c>
      <c r="I425" s="11"/>
      <c r="J425" s="10" t="s">
        <v>24</v>
      </c>
      <c r="K425" s="12" t="s">
        <v>66</v>
      </c>
      <c r="L425" s="54">
        <f t="shared" ref="L425:L427" si="148">(ISNUMBER(G425))-1</f>
        <v>0</v>
      </c>
    </row>
    <row r="426" spans="1:12" hidden="1" x14ac:dyDescent="0.2">
      <c r="A426" s="5" t="s">
        <v>343</v>
      </c>
      <c r="B426" s="6" t="s">
        <v>349</v>
      </c>
      <c r="C426" s="6" t="s">
        <v>487</v>
      </c>
      <c r="D426" s="6" t="s">
        <v>622</v>
      </c>
      <c r="E426" s="6" t="s">
        <v>621</v>
      </c>
      <c r="F426" s="6" t="s">
        <v>528</v>
      </c>
      <c r="G426" s="49">
        <v>-344410</v>
      </c>
      <c r="H426" s="35">
        <v>45658</v>
      </c>
      <c r="I426" s="7"/>
      <c r="J426" s="6" t="s">
        <v>24</v>
      </c>
      <c r="K426" s="8" t="s">
        <v>66</v>
      </c>
      <c r="L426" s="54">
        <f t="shared" si="148"/>
        <v>0</v>
      </c>
    </row>
    <row r="427" spans="1:12" hidden="1" x14ac:dyDescent="0.2">
      <c r="A427" s="9" t="s">
        <v>440</v>
      </c>
      <c r="B427" s="10" t="s">
        <v>440</v>
      </c>
      <c r="C427" s="10" t="str">
        <f>Data_BI!$B25</f>
        <v>Комиссионный доход</v>
      </c>
      <c r="D427" s="6" t="s">
        <v>622</v>
      </c>
      <c r="E427" s="6" t="s">
        <v>621</v>
      </c>
      <c r="F427" s="10" t="s">
        <v>464</v>
      </c>
      <c r="G427" s="48">
        <v>-346516</v>
      </c>
      <c r="H427" s="36">
        <v>45658</v>
      </c>
      <c r="I427" s="11"/>
      <c r="J427" s="10" t="s">
        <v>24</v>
      </c>
      <c r="K427" s="12" t="s">
        <v>442</v>
      </c>
      <c r="L427" s="54">
        <f t="shared" si="148"/>
        <v>0</v>
      </c>
    </row>
    <row r="428" spans="1:12" hidden="1" x14ac:dyDescent="0.2">
      <c r="A428" s="5" t="s">
        <v>343</v>
      </c>
      <c r="B428" s="6" t="s">
        <v>411</v>
      </c>
      <c r="C428" s="6" t="e">
        <f>Data_BI!#REF!</f>
        <v>#REF!</v>
      </c>
      <c r="D428" s="6" t="s">
        <v>622</v>
      </c>
      <c r="E428" s="6" t="s">
        <v>621</v>
      </c>
      <c r="F428" s="6" t="s">
        <v>426</v>
      </c>
      <c r="G428" s="49">
        <v>-354442.84</v>
      </c>
      <c r="H428" s="35">
        <v>45658</v>
      </c>
      <c r="I428" s="7"/>
      <c r="J428" s="6" t="s">
        <v>24</v>
      </c>
      <c r="K428" s="8" t="s">
        <v>66</v>
      </c>
      <c r="L428" s="54">
        <f t="shared" ref="L428:L432" si="149">(ISNUMBER(G428))-1</f>
        <v>0</v>
      </c>
    </row>
    <row r="429" spans="1:12" hidden="1" x14ac:dyDescent="0.2">
      <c r="A429" s="5" t="s">
        <v>440</v>
      </c>
      <c r="B429" s="6" t="s">
        <v>440</v>
      </c>
      <c r="C429" s="6" t="e">
        <f>Data_BI!#REF!</f>
        <v>#REF!</v>
      </c>
      <c r="D429" s="6" t="s">
        <v>622</v>
      </c>
      <c r="E429" s="6" t="s">
        <v>621</v>
      </c>
      <c r="F429" s="6" t="s">
        <v>463</v>
      </c>
      <c r="G429" s="49">
        <v>-361797</v>
      </c>
      <c r="H429" s="35">
        <v>45658</v>
      </c>
      <c r="I429" s="7"/>
      <c r="J429" s="6" t="s">
        <v>24</v>
      </c>
      <c r="K429" s="8" t="s">
        <v>442</v>
      </c>
      <c r="L429" s="54">
        <f t="shared" si="149"/>
        <v>0</v>
      </c>
    </row>
    <row r="430" spans="1:12" hidden="1" x14ac:dyDescent="0.2">
      <c r="A430" s="9" t="s">
        <v>81</v>
      </c>
      <c r="B430" s="10" t="s">
        <v>168</v>
      </c>
      <c r="C430" s="10" t="s">
        <v>179</v>
      </c>
      <c r="D430" s="6" t="s">
        <v>622</v>
      </c>
      <c r="E430" s="6" t="s">
        <v>621</v>
      </c>
      <c r="F430" s="10" t="s">
        <v>180</v>
      </c>
      <c r="G430" s="48">
        <v>-361867.9</v>
      </c>
      <c r="H430" s="36">
        <v>45658</v>
      </c>
      <c r="I430" s="11"/>
      <c r="J430" s="10" t="s">
        <v>24</v>
      </c>
      <c r="K430" s="12" t="s">
        <v>66</v>
      </c>
      <c r="L430" s="54">
        <f t="shared" si="149"/>
        <v>0</v>
      </c>
    </row>
    <row r="431" spans="1:12" hidden="1" x14ac:dyDescent="0.2">
      <c r="A431" s="5" t="s">
        <v>343</v>
      </c>
      <c r="B431" s="6" t="s">
        <v>349</v>
      </c>
      <c r="C431" s="6" t="s">
        <v>487</v>
      </c>
      <c r="D431" s="6" t="s">
        <v>622</v>
      </c>
      <c r="E431" s="6" t="s">
        <v>621</v>
      </c>
      <c r="F431" s="6" t="s">
        <v>518</v>
      </c>
      <c r="G431" s="49">
        <v>-362000</v>
      </c>
      <c r="H431" s="35">
        <v>45658</v>
      </c>
      <c r="I431" s="7"/>
      <c r="J431" s="6" t="s">
        <v>24</v>
      </c>
      <c r="K431" s="8" t="s">
        <v>66</v>
      </c>
      <c r="L431" s="54">
        <f t="shared" si="149"/>
        <v>0</v>
      </c>
    </row>
    <row r="432" spans="1:12" hidden="1" x14ac:dyDescent="0.2">
      <c r="A432" s="5" t="s">
        <v>343</v>
      </c>
      <c r="B432" s="6" t="s">
        <v>349</v>
      </c>
      <c r="C432" s="6" t="s">
        <v>487</v>
      </c>
      <c r="D432" s="6" t="s">
        <v>622</v>
      </c>
      <c r="E432" s="6" t="s">
        <v>621</v>
      </c>
      <c r="F432" s="6" t="s">
        <v>532</v>
      </c>
      <c r="G432" s="49">
        <v>-374375</v>
      </c>
      <c r="H432" s="35">
        <v>45658</v>
      </c>
      <c r="I432" s="7"/>
      <c r="J432" s="6" t="s">
        <v>24</v>
      </c>
      <c r="K432" s="8" t="s">
        <v>66</v>
      </c>
      <c r="L432" s="54">
        <f t="shared" si="149"/>
        <v>0</v>
      </c>
    </row>
    <row r="433" spans="1:12" hidden="1" x14ac:dyDescent="0.2">
      <c r="A433" s="9" t="s">
        <v>343</v>
      </c>
      <c r="B433" s="10" t="s">
        <v>349</v>
      </c>
      <c r="C433" s="10" t="s">
        <v>365</v>
      </c>
      <c r="D433" s="6" t="s">
        <v>622</v>
      </c>
      <c r="E433" s="6" t="s">
        <v>621</v>
      </c>
      <c r="F433" s="10" t="s">
        <v>583</v>
      </c>
      <c r="G433" s="48">
        <v>-374630.10000000003</v>
      </c>
      <c r="H433" s="36">
        <v>45658</v>
      </c>
      <c r="I433" s="11"/>
      <c r="J433" s="10" t="s">
        <v>24</v>
      </c>
      <c r="K433" s="12" t="s">
        <v>66</v>
      </c>
      <c r="L433" s="54">
        <f t="shared" ref="L433:L438" si="150">(ISNUMBER(G433))-1</f>
        <v>0</v>
      </c>
    </row>
    <row r="434" spans="1:12" hidden="1" x14ac:dyDescent="0.2">
      <c r="A434" s="9" t="s">
        <v>343</v>
      </c>
      <c r="B434" s="10" t="s">
        <v>349</v>
      </c>
      <c r="C434" s="10" t="s">
        <v>352</v>
      </c>
      <c r="D434" s="6" t="s">
        <v>622</v>
      </c>
      <c r="E434" s="6" t="s">
        <v>621</v>
      </c>
      <c r="F434" s="10" t="s">
        <v>379</v>
      </c>
      <c r="G434" s="48">
        <v>-376999.61</v>
      </c>
      <c r="H434" s="36">
        <v>45658</v>
      </c>
      <c r="I434" s="11" t="s">
        <v>380</v>
      </c>
      <c r="J434" s="10" t="s">
        <v>24</v>
      </c>
      <c r="K434" s="12" t="s">
        <v>66</v>
      </c>
      <c r="L434" s="54">
        <f t="shared" si="150"/>
        <v>0</v>
      </c>
    </row>
    <row r="435" spans="1:12" hidden="1" x14ac:dyDescent="0.2">
      <c r="A435" s="9" t="s">
        <v>343</v>
      </c>
      <c r="B435" s="10" t="s">
        <v>349</v>
      </c>
      <c r="C435" s="10" t="s">
        <v>487</v>
      </c>
      <c r="D435" s="6" t="s">
        <v>622</v>
      </c>
      <c r="E435" s="6" t="s">
        <v>621</v>
      </c>
      <c r="F435" s="6" t="s">
        <v>504</v>
      </c>
      <c r="G435" s="48">
        <v>-380487.78</v>
      </c>
      <c r="H435" s="36">
        <v>45658</v>
      </c>
      <c r="I435" s="11"/>
      <c r="J435" s="10" t="s">
        <v>24</v>
      </c>
      <c r="K435" s="12" t="s">
        <v>66</v>
      </c>
      <c r="L435" s="54">
        <f t="shared" si="150"/>
        <v>0</v>
      </c>
    </row>
    <row r="436" spans="1:12" hidden="1" x14ac:dyDescent="0.2">
      <c r="A436" s="5" t="s">
        <v>343</v>
      </c>
      <c r="B436" s="6" t="s">
        <v>349</v>
      </c>
      <c r="C436" s="6" t="s">
        <v>409</v>
      </c>
      <c r="D436" s="6" t="s">
        <v>622</v>
      </c>
      <c r="E436" s="6" t="s">
        <v>621</v>
      </c>
      <c r="F436" s="6" t="s">
        <v>410</v>
      </c>
      <c r="G436" s="49">
        <v>-383101.57666666666</v>
      </c>
      <c r="H436" s="35">
        <v>45658</v>
      </c>
      <c r="I436" s="7"/>
      <c r="J436" s="6" t="s">
        <v>24</v>
      </c>
      <c r="K436" s="8" t="s">
        <v>66</v>
      </c>
      <c r="L436" s="54">
        <f t="shared" si="150"/>
        <v>0</v>
      </c>
    </row>
    <row r="437" spans="1:12" hidden="1" x14ac:dyDescent="0.2">
      <c r="A437" s="5" t="s">
        <v>343</v>
      </c>
      <c r="B437" s="6" t="s">
        <v>349</v>
      </c>
      <c r="C437" s="6" t="s">
        <v>365</v>
      </c>
      <c r="D437" s="6" t="s">
        <v>622</v>
      </c>
      <c r="E437" s="6" t="s">
        <v>621</v>
      </c>
      <c r="F437" s="6" t="s">
        <v>560</v>
      </c>
      <c r="G437" s="49">
        <v>-383885.94666666671</v>
      </c>
      <c r="H437" s="35">
        <v>45658</v>
      </c>
      <c r="I437" s="7"/>
      <c r="J437" s="6" t="s">
        <v>24</v>
      </c>
      <c r="K437" s="8" t="s">
        <v>66</v>
      </c>
      <c r="L437" s="54">
        <f t="shared" si="150"/>
        <v>0</v>
      </c>
    </row>
    <row r="438" spans="1:12" hidden="1" x14ac:dyDescent="0.2">
      <c r="A438" s="5" t="s">
        <v>221</v>
      </c>
      <c r="B438" s="6" t="s">
        <v>235</v>
      </c>
      <c r="C438" s="6" t="s">
        <v>241</v>
      </c>
      <c r="D438" s="6" t="s">
        <v>622</v>
      </c>
      <c r="E438" s="6" t="s">
        <v>621</v>
      </c>
      <c r="F438" s="6" t="s">
        <v>244</v>
      </c>
      <c r="G438" s="49">
        <v>-391781.6</v>
      </c>
      <c r="H438" s="35">
        <v>45658</v>
      </c>
      <c r="I438" s="7"/>
      <c r="J438" s="6" t="s">
        <v>24</v>
      </c>
      <c r="K438" s="8" t="s">
        <v>66</v>
      </c>
      <c r="L438" s="54">
        <f t="shared" si="150"/>
        <v>0</v>
      </c>
    </row>
    <row r="439" spans="1:12" hidden="1" x14ac:dyDescent="0.2">
      <c r="A439" s="5" t="s">
        <v>343</v>
      </c>
      <c r="B439" s="6" t="s">
        <v>349</v>
      </c>
      <c r="C439" s="6" t="s">
        <v>365</v>
      </c>
      <c r="D439" s="6" t="s">
        <v>622</v>
      </c>
      <c r="E439" s="6" t="s">
        <v>621</v>
      </c>
      <c r="F439" s="6" t="s">
        <v>552</v>
      </c>
      <c r="G439" s="49">
        <v>-398383.74</v>
      </c>
      <c r="H439" s="35">
        <v>45658</v>
      </c>
      <c r="I439" s="7"/>
      <c r="J439" s="6" t="s">
        <v>24</v>
      </c>
      <c r="K439" s="8" t="s">
        <v>66</v>
      </c>
      <c r="L439" s="54">
        <f t="shared" ref="L439" si="151">(ISNUMBER(G439))-1</f>
        <v>0</v>
      </c>
    </row>
    <row r="440" spans="1:12" hidden="1" x14ac:dyDescent="0.2">
      <c r="A440" s="9" t="s">
        <v>343</v>
      </c>
      <c r="B440" s="10" t="s">
        <v>349</v>
      </c>
      <c r="C440" s="10" t="s">
        <v>487</v>
      </c>
      <c r="D440" s="6" t="s">
        <v>622</v>
      </c>
      <c r="E440" s="6" t="s">
        <v>621</v>
      </c>
      <c r="F440" s="10" t="s">
        <v>519</v>
      </c>
      <c r="G440" s="48">
        <v>-421997.47</v>
      </c>
      <c r="H440" s="36">
        <v>45658</v>
      </c>
      <c r="I440" s="11"/>
      <c r="J440" s="10" t="s">
        <v>24</v>
      </c>
      <c r="K440" s="12" t="s">
        <v>66</v>
      </c>
      <c r="L440" s="54">
        <f t="shared" ref="L440:L443" si="152">(ISNUMBER(G440))-1</f>
        <v>0</v>
      </c>
    </row>
    <row r="441" spans="1:12" hidden="1" x14ac:dyDescent="0.2">
      <c r="A441" s="9" t="s">
        <v>81</v>
      </c>
      <c r="B441" s="10" t="s">
        <v>168</v>
      </c>
      <c r="C441" s="10" t="s">
        <v>186</v>
      </c>
      <c r="D441" s="6" t="s">
        <v>622</v>
      </c>
      <c r="E441" s="6" t="s">
        <v>621</v>
      </c>
      <c r="F441" s="10" t="s">
        <v>188</v>
      </c>
      <c r="G441" s="48">
        <v>-433997.91</v>
      </c>
      <c r="H441" s="36">
        <v>45658</v>
      </c>
      <c r="I441" s="11"/>
      <c r="J441" s="10" t="s">
        <v>24</v>
      </c>
      <c r="K441" s="12" t="s">
        <v>66</v>
      </c>
      <c r="L441" s="54">
        <f t="shared" si="152"/>
        <v>0</v>
      </c>
    </row>
    <row r="442" spans="1:12" hidden="1" x14ac:dyDescent="0.2">
      <c r="A442" s="9" t="s">
        <v>440</v>
      </c>
      <c r="B442" s="10" t="s">
        <v>440</v>
      </c>
      <c r="C442" s="10" t="e">
        <f>Data_BI!#REF!</f>
        <v>#REF!</v>
      </c>
      <c r="D442" s="6" t="s">
        <v>622</v>
      </c>
      <c r="E442" s="6" t="s">
        <v>621</v>
      </c>
      <c r="F442" s="10" t="s">
        <v>462</v>
      </c>
      <c r="G442" s="48">
        <v>-442914</v>
      </c>
      <c r="H442" s="36">
        <v>45658</v>
      </c>
      <c r="I442" s="11"/>
      <c r="J442" s="10" t="s">
        <v>24</v>
      </c>
      <c r="K442" s="12" t="s">
        <v>442</v>
      </c>
      <c r="L442" s="54">
        <f t="shared" si="152"/>
        <v>0</v>
      </c>
    </row>
    <row r="443" spans="1:12" hidden="1" x14ac:dyDescent="0.2">
      <c r="A443" s="9" t="s">
        <v>343</v>
      </c>
      <c r="B443" s="10" t="s">
        <v>349</v>
      </c>
      <c r="C443" s="10" t="s">
        <v>487</v>
      </c>
      <c r="D443" s="6" t="s">
        <v>622</v>
      </c>
      <c r="E443" s="6" t="s">
        <v>621</v>
      </c>
      <c r="F443" s="10" t="s">
        <v>515</v>
      </c>
      <c r="G443" s="48">
        <v>-450000</v>
      </c>
      <c r="H443" s="36">
        <v>45658</v>
      </c>
      <c r="I443" s="11"/>
      <c r="J443" s="10" t="s">
        <v>24</v>
      </c>
      <c r="K443" s="12" t="s">
        <v>66</v>
      </c>
      <c r="L443" s="54">
        <f t="shared" si="152"/>
        <v>0</v>
      </c>
    </row>
    <row r="444" spans="1:12" hidden="1" x14ac:dyDescent="0.2">
      <c r="A444" s="5" t="s">
        <v>343</v>
      </c>
      <c r="B444" s="6" t="s">
        <v>349</v>
      </c>
      <c r="C444" s="6" t="s">
        <v>365</v>
      </c>
      <c r="D444" s="6" t="s">
        <v>622</v>
      </c>
      <c r="E444" s="6" t="s">
        <v>621</v>
      </c>
      <c r="F444" s="6" t="s">
        <v>542</v>
      </c>
      <c r="G444" s="49">
        <v>-451981.8666666667</v>
      </c>
      <c r="H444" s="35">
        <v>45658</v>
      </c>
      <c r="I444" s="7"/>
      <c r="J444" s="6" t="s">
        <v>24</v>
      </c>
      <c r="K444" s="8" t="s">
        <v>66</v>
      </c>
      <c r="L444" s="54">
        <f t="shared" ref="L444:L449" si="153">(ISNUMBER(G444))-1</f>
        <v>0</v>
      </c>
    </row>
    <row r="445" spans="1:12" hidden="1" x14ac:dyDescent="0.2">
      <c r="A445" s="5" t="s">
        <v>440</v>
      </c>
      <c r="B445" s="6" t="s">
        <v>440</v>
      </c>
      <c r="C445" s="6" t="str">
        <f>Data_BI!$B24</f>
        <v>Безнал</v>
      </c>
      <c r="D445" s="6" t="s">
        <v>622</v>
      </c>
      <c r="E445" s="6" t="s">
        <v>621</v>
      </c>
      <c r="F445" s="6" t="s">
        <v>461</v>
      </c>
      <c r="G445" s="49">
        <v>-452078</v>
      </c>
      <c r="H445" s="35">
        <v>45658</v>
      </c>
      <c r="I445" s="7"/>
      <c r="J445" s="6" t="s">
        <v>24</v>
      </c>
      <c r="K445" s="8" t="s">
        <v>442</v>
      </c>
      <c r="L445" s="54">
        <f t="shared" si="153"/>
        <v>0</v>
      </c>
    </row>
    <row r="446" spans="1:12" hidden="1" x14ac:dyDescent="0.2">
      <c r="A446" s="5" t="s">
        <v>343</v>
      </c>
      <c r="B446" s="6" t="s">
        <v>349</v>
      </c>
      <c r="C446" s="6" t="s">
        <v>487</v>
      </c>
      <c r="D446" s="6" t="s">
        <v>622</v>
      </c>
      <c r="E446" s="6" t="s">
        <v>621</v>
      </c>
      <c r="F446" s="6" t="s">
        <v>516</v>
      </c>
      <c r="G446" s="49">
        <v>-462000</v>
      </c>
      <c r="H446" s="35">
        <v>45658</v>
      </c>
      <c r="I446" s="7"/>
      <c r="J446" s="6" t="s">
        <v>24</v>
      </c>
      <c r="K446" s="8" t="s">
        <v>66</v>
      </c>
      <c r="L446" s="54">
        <f t="shared" si="153"/>
        <v>0</v>
      </c>
    </row>
    <row r="447" spans="1:12" hidden="1" x14ac:dyDescent="0.2">
      <c r="A447" s="9" t="s">
        <v>343</v>
      </c>
      <c r="B447" s="10" t="s">
        <v>349</v>
      </c>
      <c r="C447" s="10" t="s">
        <v>487</v>
      </c>
      <c r="D447" s="6" t="s">
        <v>622</v>
      </c>
      <c r="E447" s="6" t="s">
        <v>621</v>
      </c>
      <c r="F447" s="6" t="s">
        <v>505</v>
      </c>
      <c r="G447" s="48">
        <v>-464373</v>
      </c>
      <c r="H447" s="36">
        <v>45658</v>
      </c>
      <c r="I447" s="11"/>
      <c r="J447" s="10" t="s">
        <v>24</v>
      </c>
      <c r="K447" s="12" t="s">
        <v>66</v>
      </c>
      <c r="L447" s="54">
        <f t="shared" si="153"/>
        <v>0</v>
      </c>
    </row>
    <row r="448" spans="1:12" hidden="1" x14ac:dyDescent="0.2">
      <c r="A448" s="9" t="s">
        <v>343</v>
      </c>
      <c r="B448" s="10" t="s">
        <v>349</v>
      </c>
      <c r="C448" s="10" t="s">
        <v>487</v>
      </c>
      <c r="D448" s="6" t="s">
        <v>622</v>
      </c>
      <c r="E448" s="6" t="s">
        <v>621</v>
      </c>
      <c r="F448" s="10" t="s">
        <v>527</v>
      </c>
      <c r="G448" s="48">
        <v>-465850</v>
      </c>
      <c r="H448" s="36">
        <v>45658</v>
      </c>
      <c r="I448" s="11"/>
      <c r="J448" s="10" t="s">
        <v>24</v>
      </c>
      <c r="K448" s="12" t="s">
        <v>66</v>
      </c>
      <c r="L448" s="54">
        <f t="shared" si="153"/>
        <v>0</v>
      </c>
    </row>
    <row r="449" spans="1:12" hidden="1" x14ac:dyDescent="0.2">
      <c r="A449" s="5" t="s">
        <v>201</v>
      </c>
      <c r="B449" s="6" t="s">
        <v>202</v>
      </c>
      <c r="C449" s="6" t="s">
        <v>213</v>
      </c>
      <c r="D449" s="6" t="s">
        <v>622</v>
      </c>
      <c r="E449" s="6" t="s">
        <v>209</v>
      </c>
      <c r="F449" s="6"/>
      <c r="G449" s="49">
        <v>-467195.25</v>
      </c>
      <c r="H449" s="35">
        <v>45658</v>
      </c>
      <c r="I449" s="7"/>
      <c r="J449" s="6" t="s">
        <v>24</v>
      </c>
      <c r="K449" s="8" t="s">
        <v>25</v>
      </c>
      <c r="L449" s="54">
        <f t="shared" si="153"/>
        <v>0</v>
      </c>
    </row>
    <row r="450" spans="1:12" hidden="1" x14ac:dyDescent="0.2">
      <c r="A450" s="5" t="s">
        <v>343</v>
      </c>
      <c r="B450" s="6" t="s">
        <v>349</v>
      </c>
      <c r="C450" s="6" t="s">
        <v>352</v>
      </c>
      <c r="D450" s="6" t="s">
        <v>622</v>
      </c>
      <c r="E450" s="6" t="s">
        <v>621</v>
      </c>
      <c r="F450" s="6" t="s">
        <v>377</v>
      </c>
      <c r="G450" s="49">
        <v>-475352.04</v>
      </c>
      <c r="H450" s="35">
        <v>45658</v>
      </c>
      <c r="I450" s="7" t="s">
        <v>378</v>
      </c>
      <c r="J450" s="6" t="s">
        <v>24</v>
      </c>
      <c r="K450" s="8" t="s">
        <v>66</v>
      </c>
      <c r="L450" s="54">
        <f t="shared" ref="L450:L452" si="154">(ISNUMBER(G450))-1</f>
        <v>0</v>
      </c>
    </row>
    <row r="451" spans="1:12" hidden="1" x14ac:dyDescent="0.2">
      <c r="A451" s="5" t="s">
        <v>343</v>
      </c>
      <c r="B451" s="6" t="s">
        <v>349</v>
      </c>
      <c r="C451" s="6" t="s">
        <v>487</v>
      </c>
      <c r="D451" s="6" t="s">
        <v>622</v>
      </c>
      <c r="E451" s="6" t="s">
        <v>621</v>
      </c>
      <c r="F451" s="6" t="s">
        <v>520</v>
      </c>
      <c r="G451" s="49">
        <v>-481466.66666666669</v>
      </c>
      <c r="H451" s="35">
        <v>45658</v>
      </c>
      <c r="I451" s="7"/>
      <c r="J451" s="6" t="s">
        <v>24</v>
      </c>
      <c r="K451" s="8" t="s">
        <v>66</v>
      </c>
      <c r="L451" s="54">
        <f t="shared" si="154"/>
        <v>0</v>
      </c>
    </row>
    <row r="452" spans="1:12" hidden="1" x14ac:dyDescent="0.2">
      <c r="A452" s="5" t="s">
        <v>343</v>
      </c>
      <c r="B452" s="6" t="s">
        <v>349</v>
      </c>
      <c r="C452" s="6" t="s">
        <v>356</v>
      </c>
      <c r="D452" s="6" t="s">
        <v>622</v>
      </c>
      <c r="E452" s="6" t="s">
        <v>621</v>
      </c>
      <c r="F452" s="6" t="s">
        <v>358</v>
      </c>
      <c r="G452" s="49">
        <v>-503590</v>
      </c>
      <c r="H452" s="35">
        <v>45658</v>
      </c>
      <c r="I452" s="7"/>
      <c r="J452" s="6" t="s">
        <v>24</v>
      </c>
      <c r="K452" s="8" t="s">
        <v>66</v>
      </c>
      <c r="L452" s="54">
        <f t="shared" si="154"/>
        <v>0</v>
      </c>
    </row>
    <row r="453" spans="1:12" hidden="1" x14ac:dyDescent="0.2">
      <c r="A453" s="5" t="s">
        <v>81</v>
      </c>
      <c r="B453" s="6" t="s">
        <v>168</v>
      </c>
      <c r="C453" s="6" t="s">
        <v>354</v>
      </c>
      <c r="D453" s="6" t="s">
        <v>622</v>
      </c>
      <c r="E453" s="6" t="s">
        <v>621</v>
      </c>
      <c r="F453" s="6" t="s">
        <v>389</v>
      </c>
      <c r="G453" s="49">
        <v>-508716.04</v>
      </c>
      <c r="H453" s="35">
        <v>45658</v>
      </c>
      <c r="I453" s="7"/>
      <c r="J453" s="6" t="s">
        <v>24</v>
      </c>
      <c r="K453" s="8" t="s">
        <v>66</v>
      </c>
      <c r="L453" s="54">
        <f t="shared" ref="L453:L456" si="155">(ISNUMBER(G453))-1</f>
        <v>0</v>
      </c>
    </row>
    <row r="454" spans="1:12" hidden="1" x14ac:dyDescent="0.2">
      <c r="A454" s="5" t="s">
        <v>343</v>
      </c>
      <c r="B454" s="6" t="s">
        <v>349</v>
      </c>
      <c r="C454" s="6" t="s">
        <v>365</v>
      </c>
      <c r="D454" s="6" t="s">
        <v>622</v>
      </c>
      <c r="E454" s="6" t="s">
        <v>621</v>
      </c>
      <c r="F454" s="14" t="s">
        <v>540</v>
      </c>
      <c r="G454" s="49">
        <v>-527683.36800000002</v>
      </c>
      <c r="H454" s="35">
        <v>45658</v>
      </c>
      <c r="I454" s="7"/>
      <c r="J454" s="6" t="s">
        <v>24</v>
      </c>
      <c r="K454" s="8" t="s">
        <v>66</v>
      </c>
      <c r="L454" s="54">
        <f t="shared" si="155"/>
        <v>0</v>
      </c>
    </row>
    <row r="455" spans="1:12" hidden="1" x14ac:dyDescent="0.2">
      <c r="A455" s="9" t="s">
        <v>343</v>
      </c>
      <c r="B455" s="10" t="s">
        <v>349</v>
      </c>
      <c r="C455" s="10" t="s">
        <v>487</v>
      </c>
      <c r="D455" s="6" t="s">
        <v>622</v>
      </c>
      <c r="E455" s="6" t="s">
        <v>621</v>
      </c>
      <c r="F455" s="10" t="s">
        <v>509</v>
      </c>
      <c r="G455" s="48">
        <v>-538448.66</v>
      </c>
      <c r="H455" s="36">
        <v>45658</v>
      </c>
      <c r="I455" s="11"/>
      <c r="J455" s="10" t="s">
        <v>24</v>
      </c>
      <c r="K455" s="12" t="s">
        <v>66</v>
      </c>
      <c r="L455" s="54">
        <f t="shared" si="155"/>
        <v>0</v>
      </c>
    </row>
    <row r="456" spans="1:12" hidden="1" x14ac:dyDescent="0.2">
      <c r="A456" s="9" t="s">
        <v>440</v>
      </c>
      <c r="B456" s="10" t="s">
        <v>440</v>
      </c>
      <c r="C456" s="10" t="e">
        <f>Data_BI!#REF!</f>
        <v>#REF!</v>
      </c>
      <c r="D456" s="6" t="s">
        <v>622</v>
      </c>
      <c r="E456" s="6" t="s">
        <v>621</v>
      </c>
      <c r="F456" s="10" t="s">
        <v>460</v>
      </c>
      <c r="G456" s="48">
        <v>-545426</v>
      </c>
      <c r="H456" s="36">
        <v>45658</v>
      </c>
      <c r="I456" s="11"/>
      <c r="J456" s="10" t="s">
        <v>24</v>
      </c>
      <c r="K456" s="12" t="s">
        <v>442</v>
      </c>
      <c r="L456" s="54">
        <f t="shared" si="155"/>
        <v>0</v>
      </c>
    </row>
    <row r="457" spans="1:12" hidden="1" x14ac:dyDescent="0.2">
      <c r="A457" s="9" t="s">
        <v>263</v>
      </c>
      <c r="B457" s="10" t="s">
        <v>301</v>
      </c>
      <c r="C457" s="10" t="s">
        <v>301</v>
      </c>
      <c r="D457" s="6" t="s">
        <v>622</v>
      </c>
      <c r="E457" s="6" t="s">
        <v>621</v>
      </c>
      <c r="F457" s="10" t="s">
        <v>320</v>
      </c>
      <c r="G457" s="48">
        <v>-547290.41</v>
      </c>
      <c r="H457" s="36">
        <v>45658</v>
      </c>
      <c r="I457" s="11"/>
      <c r="J457" s="10" t="s">
        <v>24</v>
      </c>
      <c r="K457" s="8" t="s">
        <v>266</v>
      </c>
      <c r="L457" s="54">
        <f t="shared" ref="L457:L464" si="156">(ISNUMBER(G457))-1</f>
        <v>0</v>
      </c>
    </row>
    <row r="458" spans="1:12" hidden="1" x14ac:dyDescent="0.2">
      <c r="A458" s="5" t="s">
        <v>440</v>
      </c>
      <c r="B458" s="6" t="s">
        <v>440</v>
      </c>
      <c r="C458" s="6" t="e">
        <f>Data_BI!#REF!</f>
        <v>#REF!</v>
      </c>
      <c r="D458" s="6" t="s">
        <v>622</v>
      </c>
      <c r="E458" s="6" t="s">
        <v>621</v>
      </c>
      <c r="F458" s="6" t="s">
        <v>459</v>
      </c>
      <c r="G458" s="49">
        <v>-555069</v>
      </c>
      <c r="H458" s="35">
        <v>45658</v>
      </c>
      <c r="I458" s="7"/>
      <c r="J458" s="6" t="s">
        <v>24</v>
      </c>
      <c r="K458" s="8" t="s">
        <v>442</v>
      </c>
      <c r="L458" s="54">
        <f t="shared" si="156"/>
        <v>0</v>
      </c>
    </row>
    <row r="459" spans="1:12" hidden="1" x14ac:dyDescent="0.2">
      <c r="A459" s="9" t="s">
        <v>440</v>
      </c>
      <c r="B459" s="10" t="s">
        <v>440</v>
      </c>
      <c r="C459" s="10" t="e">
        <f>Data_BI!#REF!</f>
        <v>#REF!</v>
      </c>
      <c r="D459" s="6" t="s">
        <v>622</v>
      </c>
      <c r="E459" s="6" t="s">
        <v>621</v>
      </c>
      <c r="F459" s="10" t="s">
        <v>458</v>
      </c>
      <c r="G459" s="48">
        <v>-561721</v>
      </c>
      <c r="H459" s="36">
        <v>45658</v>
      </c>
      <c r="I459" s="11"/>
      <c r="J459" s="10" t="s">
        <v>24</v>
      </c>
      <c r="K459" s="12" t="s">
        <v>442</v>
      </c>
      <c r="L459" s="54">
        <f t="shared" si="156"/>
        <v>0</v>
      </c>
    </row>
    <row r="460" spans="1:12" hidden="1" x14ac:dyDescent="0.2">
      <c r="A460" s="9" t="s">
        <v>343</v>
      </c>
      <c r="B460" s="10" t="s">
        <v>349</v>
      </c>
      <c r="C460" s="10" t="s">
        <v>365</v>
      </c>
      <c r="D460" s="6" t="s">
        <v>622</v>
      </c>
      <c r="E460" s="6" t="s">
        <v>621</v>
      </c>
      <c r="F460" s="10" t="s">
        <v>569</v>
      </c>
      <c r="G460" s="48">
        <v>-561875.00133333344</v>
      </c>
      <c r="H460" s="36">
        <v>45658</v>
      </c>
      <c r="I460" s="11"/>
      <c r="J460" s="10" t="s">
        <v>24</v>
      </c>
      <c r="K460" s="12" t="s">
        <v>66</v>
      </c>
      <c r="L460" s="54">
        <f t="shared" si="156"/>
        <v>0</v>
      </c>
    </row>
    <row r="461" spans="1:12" hidden="1" x14ac:dyDescent="0.2">
      <c r="A461" s="5" t="s">
        <v>440</v>
      </c>
      <c r="B461" s="6" t="s">
        <v>440</v>
      </c>
      <c r="C461" s="6" t="e">
        <f>Data_BI!#REF!</f>
        <v>#REF!</v>
      </c>
      <c r="D461" s="6" t="s">
        <v>622</v>
      </c>
      <c r="E461" s="6" t="s">
        <v>621</v>
      </c>
      <c r="F461" s="6" t="s">
        <v>457</v>
      </c>
      <c r="G461" s="49">
        <v>-563672</v>
      </c>
      <c r="H461" s="35">
        <v>45658</v>
      </c>
      <c r="I461" s="7"/>
      <c r="J461" s="6" t="s">
        <v>24</v>
      </c>
      <c r="K461" s="8" t="s">
        <v>442</v>
      </c>
      <c r="L461" s="54">
        <f t="shared" si="156"/>
        <v>0</v>
      </c>
    </row>
    <row r="462" spans="1:12" hidden="1" x14ac:dyDescent="0.2">
      <c r="A462" s="9" t="s">
        <v>343</v>
      </c>
      <c r="B462" s="10" t="s">
        <v>349</v>
      </c>
      <c r="C462" s="10" t="s">
        <v>487</v>
      </c>
      <c r="D462" s="6" t="s">
        <v>622</v>
      </c>
      <c r="E462" s="6" t="s">
        <v>621</v>
      </c>
      <c r="F462" s="10" t="s">
        <v>495</v>
      </c>
      <c r="G462" s="48">
        <v>-575000</v>
      </c>
      <c r="H462" s="36">
        <v>45658</v>
      </c>
      <c r="I462" s="11"/>
      <c r="J462" s="10" t="s">
        <v>24</v>
      </c>
      <c r="K462" s="12" t="s">
        <v>66</v>
      </c>
      <c r="L462" s="54">
        <f t="shared" si="156"/>
        <v>0</v>
      </c>
    </row>
    <row r="463" spans="1:12" hidden="1" x14ac:dyDescent="0.2">
      <c r="A463" s="16" t="s">
        <v>81</v>
      </c>
      <c r="B463" s="17" t="s">
        <v>168</v>
      </c>
      <c r="C463" s="17" t="s">
        <v>169</v>
      </c>
      <c r="D463" s="6" t="s">
        <v>622</v>
      </c>
      <c r="E463" s="6" t="s">
        <v>621</v>
      </c>
      <c r="F463" s="17" t="s">
        <v>170</v>
      </c>
      <c r="G463" s="50">
        <v>-578161.48</v>
      </c>
      <c r="H463" s="37">
        <v>45658</v>
      </c>
      <c r="I463" s="45"/>
      <c r="J463" s="17" t="s">
        <v>24</v>
      </c>
      <c r="K463" s="17" t="s">
        <v>66</v>
      </c>
      <c r="L463" s="54">
        <f t="shared" si="156"/>
        <v>0</v>
      </c>
    </row>
    <row r="464" spans="1:12" hidden="1" x14ac:dyDescent="0.2">
      <c r="A464" s="18" t="s">
        <v>343</v>
      </c>
      <c r="B464" s="15" t="s">
        <v>349</v>
      </c>
      <c r="C464" s="15" t="s">
        <v>487</v>
      </c>
      <c r="D464" s="6" t="s">
        <v>622</v>
      </c>
      <c r="E464" s="6" t="s">
        <v>621</v>
      </c>
      <c r="F464" s="15" t="s">
        <v>507</v>
      </c>
      <c r="G464" s="51">
        <v>-586900</v>
      </c>
      <c r="H464" s="38">
        <v>45658</v>
      </c>
      <c r="I464" s="44"/>
      <c r="J464" s="15" t="s">
        <v>24</v>
      </c>
      <c r="K464" s="15" t="s">
        <v>66</v>
      </c>
      <c r="L464" s="54">
        <f t="shared" si="156"/>
        <v>0</v>
      </c>
    </row>
    <row r="465" spans="1:12" hidden="1" x14ac:dyDescent="0.2">
      <c r="A465" s="16" t="s">
        <v>343</v>
      </c>
      <c r="B465" s="17" t="s">
        <v>349</v>
      </c>
      <c r="C465" s="17" t="s">
        <v>352</v>
      </c>
      <c r="D465" s="6" t="s">
        <v>622</v>
      </c>
      <c r="E465" s="6" t="s">
        <v>621</v>
      </c>
      <c r="F465" s="17" t="s">
        <v>381</v>
      </c>
      <c r="G465" s="50">
        <v>-596233.313333333</v>
      </c>
      <c r="H465" s="37">
        <v>45658</v>
      </c>
      <c r="I465" s="45"/>
      <c r="J465" s="17" t="s">
        <v>24</v>
      </c>
      <c r="K465" s="17" t="s">
        <v>66</v>
      </c>
      <c r="L465" s="54">
        <f t="shared" ref="L465:L470" si="157">(ISNUMBER(G465))-1</f>
        <v>0</v>
      </c>
    </row>
    <row r="466" spans="1:12" hidden="1" x14ac:dyDescent="0.2">
      <c r="A466" s="18" t="s">
        <v>201</v>
      </c>
      <c r="B466" s="15" t="s">
        <v>202</v>
      </c>
      <c r="C466" s="15" t="s">
        <v>213</v>
      </c>
      <c r="D466" s="6" t="s">
        <v>622</v>
      </c>
      <c r="E466" s="6" t="s">
        <v>209</v>
      </c>
      <c r="F466" s="15"/>
      <c r="G466" s="51">
        <v>-606850.04</v>
      </c>
      <c r="H466" s="38">
        <v>45658</v>
      </c>
      <c r="I466" s="44"/>
      <c r="J466" s="15" t="s">
        <v>24</v>
      </c>
      <c r="K466" s="15" t="s">
        <v>25</v>
      </c>
      <c r="L466" s="54">
        <f t="shared" si="157"/>
        <v>0</v>
      </c>
    </row>
    <row r="467" spans="1:12" hidden="1" x14ac:dyDescent="0.2">
      <c r="A467" s="18" t="s">
        <v>343</v>
      </c>
      <c r="B467" s="15" t="s">
        <v>349</v>
      </c>
      <c r="C467" s="15" t="s">
        <v>352</v>
      </c>
      <c r="D467" s="17" t="s">
        <v>622</v>
      </c>
      <c r="E467" s="6" t="s">
        <v>621</v>
      </c>
      <c r="F467" s="15" t="s">
        <v>353</v>
      </c>
      <c r="G467" s="51">
        <v>-627457.26</v>
      </c>
      <c r="H467" s="38">
        <v>45658</v>
      </c>
      <c r="I467" s="44"/>
      <c r="J467" s="15" t="s">
        <v>24</v>
      </c>
      <c r="K467" s="15" t="s">
        <v>66</v>
      </c>
      <c r="L467" s="54">
        <f t="shared" si="157"/>
        <v>0</v>
      </c>
    </row>
    <row r="468" spans="1:12" hidden="1" x14ac:dyDescent="0.2">
      <c r="A468" s="18" t="s">
        <v>440</v>
      </c>
      <c r="B468" s="15" t="s">
        <v>440</v>
      </c>
      <c r="C468" s="15" t="e">
        <f>Data_BI!#REF!</f>
        <v>#REF!</v>
      </c>
      <c r="D468" s="17" t="s">
        <v>622</v>
      </c>
      <c r="E468" s="6" t="s">
        <v>621</v>
      </c>
      <c r="F468" s="15" t="s">
        <v>456</v>
      </c>
      <c r="G468" s="51">
        <v>-628700</v>
      </c>
      <c r="H468" s="38">
        <v>45658</v>
      </c>
      <c r="I468" s="44"/>
      <c r="J468" s="15" t="s">
        <v>24</v>
      </c>
      <c r="K468" s="15" t="s">
        <v>442</v>
      </c>
      <c r="L468" s="54">
        <f t="shared" si="157"/>
        <v>0</v>
      </c>
    </row>
    <row r="469" spans="1:12" hidden="1" x14ac:dyDescent="0.2">
      <c r="A469" s="16" t="s">
        <v>440</v>
      </c>
      <c r="B469" s="17" t="s">
        <v>440</v>
      </c>
      <c r="C469" s="17" t="e">
        <f>Data_BI!#REF!</f>
        <v>#REF!</v>
      </c>
      <c r="D469" s="6" t="s">
        <v>622</v>
      </c>
      <c r="E469" s="6" t="s">
        <v>621</v>
      </c>
      <c r="F469" s="17" t="s">
        <v>455</v>
      </c>
      <c r="G469" s="50">
        <v>-634317</v>
      </c>
      <c r="H469" s="37">
        <v>45658</v>
      </c>
      <c r="I469" s="45"/>
      <c r="J469" s="17" t="s">
        <v>24</v>
      </c>
      <c r="K469" s="17" t="s">
        <v>442</v>
      </c>
      <c r="L469" s="54">
        <f t="shared" si="157"/>
        <v>0</v>
      </c>
    </row>
    <row r="470" spans="1:12" hidden="1" x14ac:dyDescent="0.2">
      <c r="A470" s="16" t="s">
        <v>263</v>
      </c>
      <c r="B470" s="17" t="s">
        <v>301</v>
      </c>
      <c r="C470" s="17" t="s">
        <v>301</v>
      </c>
      <c r="D470" s="6" t="s">
        <v>38</v>
      </c>
      <c r="E470" s="6" t="s">
        <v>621</v>
      </c>
      <c r="F470" s="17" t="s">
        <v>319</v>
      </c>
      <c r="G470" s="50">
        <v>-634582.79</v>
      </c>
      <c r="H470" s="37">
        <v>45658</v>
      </c>
      <c r="I470" s="45"/>
      <c r="J470" s="17" t="s">
        <v>24</v>
      </c>
      <c r="K470" s="17" t="s">
        <v>266</v>
      </c>
      <c r="L470" s="54">
        <f t="shared" si="157"/>
        <v>0</v>
      </c>
    </row>
    <row r="471" spans="1:12" hidden="1" x14ac:dyDescent="0.2">
      <c r="A471" s="16" t="s">
        <v>343</v>
      </c>
      <c r="B471" s="17" t="s">
        <v>349</v>
      </c>
      <c r="C471" s="17" t="s">
        <v>487</v>
      </c>
      <c r="D471" s="6" t="s">
        <v>622</v>
      </c>
      <c r="E471" s="6" t="s">
        <v>621</v>
      </c>
      <c r="F471" s="17" t="s">
        <v>524</v>
      </c>
      <c r="G471" s="50">
        <v>-700192.56666666677</v>
      </c>
      <c r="H471" s="37">
        <v>45658</v>
      </c>
      <c r="I471" s="45"/>
      <c r="J471" s="17" t="s">
        <v>24</v>
      </c>
      <c r="K471" s="17" t="s">
        <v>66</v>
      </c>
      <c r="L471" s="54">
        <f t="shared" ref="L471:L475" si="158">(ISNUMBER(G471))-1</f>
        <v>0</v>
      </c>
    </row>
    <row r="472" spans="1:12" hidden="1" x14ac:dyDescent="0.2">
      <c r="A472" s="18" t="s">
        <v>81</v>
      </c>
      <c r="B472" s="15" t="s">
        <v>168</v>
      </c>
      <c r="C472" s="15" t="s">
        <v>354</v>
      </c>
      <c r="D472" s="6" t="s">
        <v>622</v>
      </c>
      <c r="E472" s="6" t="s">
        <v>621</v>
      </c>
      <c r="F472" s="15" t="s">
        <v>486</v>
      </c>
      <c r="G472" s="51">
        <v>-702125</v>
      </c>
      <c r="H472" s="38">
        <v>45658</v>
      </c>
      <c r="I472" s="44"/>
      <c r="J472" s="15" t="s">
        <v>24</v>
      </c>
      <c r="K472" s="15" t="s">
        <v>66</v>
      </c>
      <c r="L472" s="54">
        <f t="shared" si="158"/>
        <v>0</v>
      </c>
    </row>
    <row r="473" spans="1:12" hidden="1" x14ac:dyDescent="0.2">
      <c r="A473" s="18" t="s">
        <v>81</v>
      </c>
      <c r="B473" s="15" t="s">
        <v>168</v>
      </c>
      <c r="C473" s="15" t="s">
        <v>171</v>
      </c>
      <c r="D473" s="6" t="s">
        <v>622</v>
      </c>
      <c r="E473" s="6" t="s">
        <v>621</v>
      </c>
      <c r="F473" s="15" t="s">
        <v>176</v>
      </c>
      <c r="G473" s="51">
        <v>-712922.33</v>
      </c>
      <c r="H473" s="38">
        <v>45658</v>
      </c>
      <c r="I473" s="44"/>
      <c r="J473" s="15" t="s">
        <v>24</v>
      </c>
      <c r="K473" s="15" t="s">
        <v>66</v>
      </c>
      <c r="L473" s="54">
        <f t="shared" si="158"/>
        <v>0</v>
      </c>
    </row>
    <row r="474" spans="1:12" hidden="1" x14ac:dyDescent="0.2">
      <c r="A474" s="16" t="s">
        <v>201</v>
      </c>
      <c r="B474" s="17" t="s">
        <v>214</v>
      </c>
      <c r="C474" s="17" t="s">
        <v>217</v>
      </c>
      <c r="D474" s="6" t="s">
        <v>622</v>
      </c>
      <c r="E474" s="6" t="s">
        <v>205</v>
      </c>
      <c r="F474" s="17"/>
      <c r="G474" s="50">
        <v>-719003.549999999</v>
      </c>
      <c r="H474" s="37">
        <v>45658</v>
      </c>
      <c r="I474" s="45"/>
      <c r="J474" s="17" t="s">
        <v>24</v>
      </c>
      <c r="K474" s="17" t="s">
        <v>25</v>
      </c>
      <c r="L474" s="54">
        <f t="shared" si="158"/>
        <v>0</v>
      </c>
    </row>
    <row r="475" spans="1:12" hidden="1" x14ac:dyDescent="0.2">
      <c r="A475" s="18" t="s">
        <v>343</v>
      </c>
      <c r="B475" s="15" t="s">
        <v>349</v>
      </c>
      <c r="C475" s="15" t="s">
        <v>356</v>
      </c>
      <c r="D475" s="17" t="s">
        <v>622</v>
      </c>
      <c r="E475" s="6" t="s">
        <v>621</v>
      </c>
      <c r="F475" s="15" t="s">
        <v>357</v>
      </c>
      <c r="G475" s="51">
        <v>-728065.52399999998</v>
      </c>
      <c r="H475" s="38">
        <v>45658</v>
      </c>
      <c r="I475" s="44"/>
      <c r="J475" s="15" t="s">
        <v>24</v>
      </c>
      <c r="K475" s="15" t="s">
        <v>66</v>
      </c>
      <c r="L475" s="54">
        <f t="shared" si="158"/>
        <v>0</v>
      </c>
    </row>
    <row r="476" spans="1:12" hidden="1" x14ac:dyDescent="0.2">
      <c r="A476" s="18" t="s">
        <v>343</v>
      </c>
      <c r="B476" s="15" t="s">
        <v>349</v>
      </c>
      <c r="C476" s="15" t="s">
        <v>352</v>
      </c>
      <c r="D476" s="17" t="s">
        <v>622</v>
      </c>
      <c r="E476" s="6" t="s">
        <v>621</v>
      </c>
      <c r="F476" s="15" t="s">
        <v>374</v>
      </c>
      <c r="G476" s="51">
        <v>-763301.3</v>
      </c>
      <c r="H476" s="38">
        <v>45658</v>
      </c>
      <c r="I476" s="44"/>
      <c r="J476" s="15" t="s">
        <v>24</v>
      </c>
      <c r="K476" s="15" t="s">
        <v>66</v>
      </c>
      <c r="L476" s="54">
        <f t="shared" ref="L476:L481" si="159">(ISNUMBER(G476))-1</f>
        <v>0</v>
      </c>
    </row>
    <row r="477" spans="1:12" hidden="1" x14ac:dyDescent="0.2">
      <c r="A477" s="18" t="s">
        <v>263</v>
      </c>
      <c r="B477" s="15" t="s">
        <v>301</v>
      </c>
      <c r="C477" s="15" t="s">
        <v>301</v>
      </c>
      <c r="D477" s="10" t="s">
        <v>38</v>
      </c>
      <c r="E477" s="6" t="s">
        <v>621</v>
      </c>
      <c r="F477" s="15" t="s">
        <v>318</v>
      </c>
      <c r="G477" s="51">
        <v>-763375.89</v>
      </c>
      <c r="H477" s="38">
        <v>45658</v>
      </c>
      <c r="I477" s="44"/>
      <c r="J477" s="15" t="s">
        <v>24</v>
      </c>
      <c r="K477" s="17" t="s">
        <v>266</v>
      </c>
      <c r="L477" s="54">
        <f t="shared" si="159"/>
        <v>0</v>
      </c>
    </row>
    <row r="478" spans="1:12" hidden="1" x14ac:dyDescent="0.2">
      <c r="A478" s="16" t="s">
        <v>343</v>
      </c>
      <c r="B478" s="17" t="s">
        <v>349</v>
      </c>
      <c r="C478" s="17" t="s">
        <v>352</v>
      </c>
      <c r="D478" s="6" t="s">
        <v>622</v>
      </c>
      <c r="E478" s="6" t="s">
        <v>621</v>
      </c>
      <c r="F478" s="17" t="s">
        <v>376</v>
      </c>
      <c r="G478" s="50">
        <v>-778620.89333333308</v>
      </c>
      <c r="H478" s="37">
        <v>45658</v>
      </c>
      <c r="I478" s="45"/>
      <c r="J478" s="17" t="s">
        <v>24</v>
      </c>
      <c r="K478" s="17" t="s">
        <v>66</v>
      </c>
      <c r="L478" s="54">
        <f t="shared" si="159"/>
        <v>0</v>
      </c>
    </row>
    <row r="479" spans="1:12" hidden="1" x14ac:dyDescent="0.2">
      <c r="A479" s="16" t="s">
        <v>201</v>
      </c>
      <c r="B479" s="17" t="s">
        <v>202</v>
      </c>
      <c r="C479" s="17" t="s">
        <v>213</v>
      </c>
      <c r="D479" s="6" t="s">
        <v>622</v>
      </c>
      <c r="E479" s="6" t="s">
        <v>209</v>
      </c>
      <c r="F479" s="17"/>
      <c r="G479" s="50">
        <v>-793076.33</v>
      </c>
      <c r="H479" s="37">
        <v>45658</v>
      </c>
      <c r="I479" s="45"/>
      <c r="J479" s="17" t="s">
        <v>24</v>
      </c>
      <c r="K479" s="17" t="s">
        <v>25</v>
      </c>
      <c r="L479" s="54">
        <f t="shared" si="159"/>
        <v>0</v>
      </c>
    </row>
    <row r="480" spans="1:12" hidden="1" x14ac:dyDescent="0.2">
      <c r="A480" s="16" t="s">
        <v>343</v>
      </c>
      <c r="B480" s="17" t="s">
        <v>349</v>
      </c>
      <c r="C480" s="17" t="s">
        <v>363</v>
      </c>
      <c r="D480" s="6" t="s">
        <v>622</v>
      </c>
      <c r="E480" s="6" t="s">
        <v>621</v>
      </c>
      <c r="F480" s="17" t="s">
        <v>375</v>
      </c>
      <c r="G480" s="50">
        <v>-862959.23</v>
      </c>
      <c r="H480" s="37">
        <v>45658</v>
      </c>
      <c r="I480" s="45"/>
      <c r="J480" s="17" t="s">
        <v>24</v>
      </c>
      <c r="K480" s="17" t="s">
        <v>66</v>
      </c>
      <c r="L480" s="54">
        <f t="shared" si="159"/>
        <v>0</v>
      </c>
    </row>
    <row r="481" spans="1:12" hidden="1" x14ac:dyDescent="0.2">
      <c r="A481" s="18" t="s">
        <v>343</v>
      </c>
      <c r="B481" s="15" t="s">
        <v>349</v>
      </c>
      <c r="C481" s="15" t="s">
        <v>365</v>
      </c>
      <c r="D481" s="6" t="s">
        <v>622</v>
      </c>
      <c r="E481" s="6" t="s">
        <v>621</v>
      </c>
      <c r="F481" s="15" t="s">
        <v>579</v>
      </c>
      <c r="G481" s="51">
        <v>-868727.39999999991</v>
      </c>
      <c r="H481" s="38">
        <v>45658</v>
      </c>
      <c r="I481" s="44"/>
      <c r="J481" s="15" t="s">
        <v>24</v>
      </c>
      <c r="K481" s="15" t="s">
        <v>66</v>
      </c>
      <c r="L481" s="54">
        <f t="shared" si="159"/>
        <v>0</v>
      </c>
    </row>
    <row r="482" spans="1:12" hidden="1" x14ac:dyDescent="0.2">
      <c r="A482" s="18" t="s">
        <v>440</v>
      </c>
      <c r="B482" s="15" t="s">
        <v>440</v>
      </c>
      <c r="C482" s="15" t="e">
        <f>Data_BI!#REF!</f>
        <v>#REF!</v>
      </c>
      <c r="D482" s="6" t="s">
        <v>622</v>
      </c>
      <c r="E482" s="6" t="s">
        <v>621</v>
      </c>
      <c r="F482" s="15" t="s">
        <v>454</v>
      </c>
      <c r="G482" s="51">
        <v>-869381</v>
      </c>
      <c r="H482" s="38">
        <v>45658</v>
      </c>
      <c r="I482" s="44"/>
      <c r="J482" s="15" t="s">
        <v>24</v>
      </c>
      <c r="K482" s="15" t="s">
        <v>442</v>
      </c>
      <c r="L482" s="54">
        <f t="shared" ref="L482:L486" si="160">(ISNUMBER(G482))-1</f>
        <v>0</v>
      </c>
    </row>
    <row r="483" spans="1:12" hidden="1" x14ac:dyDescent="0.2">
      <c r="A483" s="16" t="s">
        <v>440</v>
      </c>
      <c r="B483" s="17" t="s">
        <v>440</v>
      </c>
      <c r="C483" s="6" t="e">
        <f>Data_BI!#REF!</f>
        <v>#REF!</v>
      </c>
      <c r="D483" s="6" t="s">
        <v>622</v>
      </c>
      <c r="E483" s="6" t="s">
        <v>621</v>
      </c>
      <c r="F483" s="17" t="s">
        <v>453</v>
      </c>
      <c r="G483" s="50">
        <v>-871310</v>
      </c>
      <c r="H483" s="37">
        <v>45658</v>
      </c>
      <c r="I483" s="45"/>
      <c r="J483" s="17" t="s">
        <v>24</v>
      </c>
      <c r="K483" s="8" t="s">
        <v>442</v>
      </c>
      <c r="L483" s="54">
        <f t="shared" si="160"/>
        <v>0</v>
      </c>
    </row>
    <row r="484" spans="1:12" hidden="1" x14ac:dyDescent="0.2">
      <c r="A484" s="18" t="s">
        <v>343</v>
      </c>
      <c r="B484" s="15" t="s">
        <v>349</v>
      </c>
      <c r="C484" s="10" t="s">
        <v>487</v>
      </c>
      <c r="D484" s="6" t="s">
        <v>622</v>
      </c>
      <c r="E484" s="6" t="s">
        <v>621</v>
      </c>
      <c r="F484" s="15" t="s">
        <v>539</v>
      </c>
      <c r="G484" s="51">
        <v>-901157.53666666197</v>
      </c>
      <c r="H484" s="38">
        <v>45658</v>
      </c>
      <c r="I484" s="44"/>
      <c r="J484" s="15" t="s">
        <v>24</v>
      </c>
      <c r="K484" s="12" t="s">
        <v>66</v>
      </c>
      <c r="L484" s="54">
        <f t="shared" si="160"/>
        <v>0</v>
      </c>
    </row>
    <row r="485" spans="1:12" hidden="1" x14ac:dyDescent="0.2">
      <c r="A485" s="18" t="s">
        <v>343</v>
      </c>
      <c r="B485" s="15" t="s">
        <v>411</v>
      </c>
      <c r="C485" s="15" t="str">
        <f>Data_BI!$B21</f>
        <v>Процентный доход</v>
      </c>
      <c r="D485" s="6" t="s">
        <v>622</v>
      </c>
      <c r="E485" s="6" t="s">
        <v>621</v>
      </c>
      <c r="F485" s="15" t="s">
        <v>425</v>
      </c>
      <c r="G485" s="51">
        <v>-937260.1</v>
      </c>
      <c r="H485" s="38">
        <v>45658</v>
      </c>
      <c r="I485" s="44"/>
      <c r="J485" s="15" t="s">
        <v>24</v>
      </c>
      <c r="K485" s="15" t="s">
        <v>66</v>
      </c>
      <c r="L485" s="54">
        <f t="shared" si="160"/>
        <v>0</v>
      </c>
    </row>
    <row r="486" spans="1:12" hidden="1" x14ac:dyDescent="0.2">
      <c r="A486" s="18" t="s">
        <v>440</v>
      </c>
      <c r="B486" s="15" t="s">
        <v>440</v>
      </c>
      <c r="C486" s="15" t="e">
        <f>Data_BI!#REF!</f>
        <v>#REF!</v>
      </c>
      <c r="D486" s="6" t="s">
        <v>622</v>
      </c>
      <c r="E486" s="6" t="s">
        <v>621</v>
      </c>
      <c r="F486" s="15" t="s">
        <v>452</v>
      </c>
      <c r="G486" s="51">
        <v>-956485</v>
      </c>
      <c r="H486" s="38">
        <v>45658</v>
      </c>
      <c r="I486" s="44"/>
      <c r="J486" s="15" t="s">
        <v>24</v>
      </c>
      <c r="K486" s="15" t="s">
        <v>442</v>
      </c>
      <c r="L486" s="54">
        <f t="shared" si="160"/>
        <v>0</v>
      </c>
    </row>
    <row r="487" spans="1:12" hidden="1" x14ac:dyDescent="0.2">
      <c r="A487" s="16" t="s">
        <v>440</v>
      </c>
      <c r="B487" s="17" t="s">
        <v>440</v>
      </c>
      <c r="C487" s="17" t="e">
        <f>Data_BI!#REF!</f>
        <v>#REF!</v>
      </c>
      <c r="D487" s="6" t="s">
        <v>622</v>
      </c>
      <c r="E487" s="6" t="s">
        <v>621</v>
      </c>
      <c r="F487" s="17" t="s">
        <v>451</v>
      </c>
      <c r="G487" s="50">
        <v>-1085862</v>
      </c>
      <c r="H487" s="37">
        <v>45658</v>
      </c>
      <c r="I487" s="45"/>
      <c r="J487" s="17" t="s">
        <v>24</v>
      </c>
      <c r="K487" s="8" t="s">
        <v>442</v>
      </c>
      <c r="L487" s="54">
        <f t="shared" ref="L487:L488" si="161">(ISNUMBER(G487))-1</f>
        <v>0</v>
      </c>
    </row>
    <row r="488" spans="1:12" hidden="1" x14ac:dyDescent="0.2">
      <c r="A488" s="16" t="s">
        <v>343</v>
      </c>
      <c r="B488" s="17" t="s">
        <v>411</v>
      </c>
      <c r="C488" s="17" t="e">
        <f>Data_BI!#REF!</f>
        <v>#REF!</v>
      </c>
      <c r="D488" s="17" t="s">
        <v>622</v>
      </c>
      <c r="E488" s="6" t="s">
        <v>621</v>
      </c>
      <c r="F488" s="17" t="s">
        <v>424</v>
      </c>
      <c r="G488" s="50">
        <v>-1115462.03</v>
      </c>
      <c r="H488" s="37">
        <v>45658</v>
      </c>
      <c r="I488" s="45"/>
      <c r="J488" s="17" t="s">
        <v>24</v>
      </c>
      <c r="K488" s="8" t="s">
        <v>66</v>
      </c>
      <c r="L488" s="54">
        <f t="shared" si="161"/>
        <v>0</v>
      </c>
    </row>
    <row r="489" spans="1:12" hidden="1" x14ac:dyDescent="0.2">
      <c r="A489" s="18" t="s">
        <v>440</v>
      </c>
      <c r="B489" s="15" t="s">
        <v>440</v>
      </c>
      <c r="C489" s="15" t="e">
        <f>Data_BI!#REF!</f>
        <v>#REF!</v>
      </c>
      <c r="D489" s="17" t="s">
        <v>622</v>
      </c>
      <c r="E489" s="6" t="s">
        <v>621</v>
      </c>
      <c r="F489" s="15" t="s">
        <v>450</v>
      </c>
      <c r="G489" s="51">
        <v>-1119907</v>
      </c>
      <c r="H489" s="38">
        <v>45658</v>
      </c>
      <c r="I489" s="44"/>
      <c r="J489" s="15" t="s">
        <v>24</v>
      </c>
      <c r="K489" s="12" t="s">
        <v>442</v>
      </c>
      <c r="L489" s="54">
        <f t="shared" ref="L489:L494" si="162">(ISNUMBER(G489))-1</f>
        <v>0</v>
      </c>
    </row>
    <row r="490" spans="1:12" hidden="1" x14ac:dyDescent="0.2">
      <c r="A490" s="16" t="s">
        <v>440</v>
      </c>
      <c r="B490" s="17" t="s">
        <v>440</v>
      </c>
      <c r="C490" s="17" t="e">
        <f>Data_BI!#REF!</f>
        <v>#REF!</v>
      </c>
      <c r="D490" s="6" t="s">
        <v>622</v>
      </c>
      <c r="E490" s="6" t="s">
        <v>621</v>
      </c>
      <c r="F490" s="17" t="s">
        <v>449</v>
      </c>
      <c r="G490" s="50">
        <v>-1138256</v>
      </c>
      <c r="H490" s="37">
        <v>45658</v>
      </c>
      <c r="I490" s="45"/>
      <c r="J490" s="17" t="s">
        <v>24</v>
      </c>
      <c r="K490" s="8" t="s">
        <v>442</v>
      </c>
      <c r="L490" s="54">
        <f t="shared" si="162"/>
        <v>0</v>
      </c>
    </row>
    <row r="491" spans="1:12" hidden="1" x14ac:dyDescent="0.2">
      <c r="A491" s="16" t="s">
        <v>343</v>
      </c>
      <c r="B491" s="17" t="s">
        <v>349</v>
      </c>
      <c r="C491" s="17" t="s">
        <v>365</v>
      </c>
      <c r="D491" s="6" t="s">
        <v>622</v>
      </c>
      <c r="E491" s="6" t="s">
        <v>621</v>
      </c>
      <c r="F491" s="17" t="s">
        <v>556</v>
      </c>
      <c r="G491" s="50">
        <v>-1158579</v>
      </c>
      <c r="H491" s="37">
        <v>45658</v>
      </c>
      <c r="I491" s="45"/>
      <c r="J491" s="17" t="s">
        <v>24</v>
      </c>
      <c r="K491" s="8" t="s">
        <v>66</v>
      </c>
      <c r="L491" s="54">
        <f t="shared" si="162"/>
        <v>0</v>
      </c>
    </row>
    <row r="492" spans="1:12" hidden="1" x14ac:dyDescent="0.2">
      <c r="A492" s="18" t="s">
        <v>201</v>
      </c>
      <c r="B492" s="15" t="s">
        <v>202</v>
      </c>
      <c r="C492" s="15" t="s">
        <v>213</v>
      </c>
      <c r="D492" s="17" t="s">
        <v>622</v>
      </c>
      <c r="E492" s="6" t="s">
        <v>208</v>
      </c>
      <c r="F492" s="15"/>
      <c r="G492" s="51">
        <v>-1197807.57</v>
      </c>
      <c r="H492" s="38">
        <v>45658</v>
      </c>
      <c r="I492" s="44"/>
      <c r="J492" s="15" t="s">
        <v>24</v>
      </c>
      <c r="K492" s="12" t="s">
        <v>25</v>
      </c>
      <c r="L492" s="54">
        <f t="shared" si="162"/>
        <v>0</v>
      </c>
    </row>
    <row r="493" spans="1:12" hidden="1" x14ac:dyDescent="0.2">
      <c r="A493" s="18" t="s">
        <v>440</v>
      </c>
      <c r="B493" s="15" t="s">
        <v>440</v>
      </c>
      <c r="C493" s="15" t="str">
        <f>Data_BI!$B23</f>
        <v>Процентный доход</v>
      </c>
      <c r="D493" s="17" t="s">
        <v>622</v>
      </c>
      <c r="E493" s="6" t="s">
        <v>621</v>
      </c>
      <c r="F493" s="15" t="s">
        <v>448</v>
      </c>
      <c r="G493" s="51">
        <v>-1209054</v>
      </c>
      <c r="H493" s="38">
        <v>45658</v>
      </c>
      <c r="I493" s="44"/>
      <c r="J493" s="15" t="s">
        <v>24</v>
      </c>
      <c r="K493" s="12" t="s">
        <v>442</v>
      </c>
      <c r="L493" s="54">
        <f t="shared" si="162"/>
        <v>0</v>
      </c>
    </row>
    <row r="494" spans="1:12" hidden="1" x14ac:dyDescent="0.2">
      <c r="A494" s="16" t="s">
        <v>440</v>
      </c>
      <c r="B494" s="6" t="s">
        <v>440</v>
      </c>
      <c r="C494" s="6" t="e">
        <f>Data_BI!#REF!</f>
        <v>#REF!</v>
      </c>
      <c r="D494" s="6" t="s">
        <v>622</v>
      </c>
      <c r="E494" s="6" t="s">
        <v>621</v>
      </c>
      <c r="F494" s="17" t="s">
        <v>447</v>
      </c>
      <c r="G494" s="50">
        <v>-1211010</v>
      </c>
      <c r="H494" s="37">
        <v>45658</v>
      </c>
      <c r="I494" s="45"/>
      <c r="J494" s="17" t="s">
        <v>24</v>
      </c>
      <c r="K494" s="17" t="s">
        <v>442</v>
      </c>
      <c r="L494" s="54">
        <f t="shared" si="162"/>
        <v>0</v>
      </c>
    </row>
    <row r="495" spans="1:12" hidden="1" x14ac:dyDescent="0.2">
      <c r="A495" s="18" t="s">
        <v>440</v>
      </c>
      <c r="B495" s="10" t="s">
        <v>440</v>
      </c>
      <c r="C495" s="10" t="e">
        <f>Data_BI!#REF!</f>
        <v>#REF!</v>
      </c>
      <c r="D495" s="6" t="s">
        <v>622</v>
      </c>
      <c r="E495" s="6" t="s">
        <v>621</v>
      </c>
      <c r="F495" s="15" t="s">
        <v>446</v>
      </c>
      <c r="G495" s="51">
        <v>-1242048</v>
      </c>
      <c r="H495" s="38">
        <v>45658</v>
      </c>
      <c r="I495" s="44"/>
      <c r="J495" s="15" t="s">
        <v>24</v>
      </c>
      <c r="K495" s="15" t="s">
        <v>442</v>
      </c>
      <c r="L495" s="54">
        <f t="shared" ref="L495:L501" si="163">(ISNUMBER(G495))-1</f>
        <v>0</v>
      </c>
    </row>
    <row r="496" spans="1:12" hidden="1" x14ac:dyDescent="0.2">
      <c r="A496" s="16" t="s">
        <v>221</v>
      </c>
      <c r="B496" s="17" t="s">
        <v>235</v>
      </c>
      <c r="C496" s="17" t="s">
        <v>236</v>
      </c>
      <c r="D496" s="6" t="s">
        <v>622</v>
      </c>
      <c r="E496" s="6" t="s">
        <v>621</v>
      </c>
      <c r="F496" s="17" t="s">
        <v>237</v>
      </c>
      <c r="G496" s="50">
        <v>-1244910.73</v>
      </c>
      <c r="H496" s="37">
        <v>45658</v>
      </c>
      <c r="I496" s="45"/>
      <c r="J496" s="17" t="s">
        <v>24</v>
      </c>
      <c r="K496" s="17" t="s">
        <v>66</v>
      </c>
      <c r="L496" s="54">
        <f t="shared" si="163"/>
        <v>0</v>
      </c>
    </row>
    <row r="497" spans="1:12" hidden="1" x14ac:dyDescent="0.2">
      <c r="A497" s="18" t="s">
        <v>15</v>
      </c>
      <c r="B497" s="15" t="s">
        <v>63</v>
      </c>
      <c r="C497" s="15" t="s">
        <v>69</v>
      </c>
      <c r="D497" s="10" t="s">
        <v>30</v>
      </c>
      <c r="E497" s="6" t="s">
        <v>621</v>
      </c>
      <c r="F497" s="15" t="s">
        <v>72</v>
      </c>
      <c r="G497" s="51">
        <v>-1290575.17</v>
      </c>
      <c r="H497" s="38">
        <v>45658</v>
      </c>
      <c r="I497" s="44"/>
      <c r="J497" s="15" t="s">
        <v>24</v>
      </c>
      <c r="K497" s="15" t="s">
        <v>66</v>
      </c>
      <c r="L497" s="54">
        <f t="shared" si="163"/>
        <v>0</v>
      </c>
    </row>
    <row r="498" spans="1:12" hidden="1" x14ac:dyDescent="0.2">
      <c r="A498" s="18" t="s">
        <v>201</v>
      </c>
      <c r="B498" s="15" t="s">
        <v>214</v>
      </c>
      <c r="C498" s="15" t="s">
        <v>217</v>
      </c>
      <c r="D498" s="6" t="s">
        <v>622</v>
      </c>
      <c r="E498" s="6" t="s">
        <v>209</v>
      </c>
      <c r="F498" s="15"/>
      <c r="G498" s="51">
        <v>-1318463.6599999999</v>
      </c>
      <c r="H498" s="38">
        <v>45658</v>
      </c>
      <c r="I498" s="44"/>
      <c r="J498" s="15" t="s">
        <v>24</v>
      </c>
      <c r="K498" s="15" t="s">
        <v>25</v>
      </c>
      <c r="L498" s="54">
        <f t="shared" si="163"/>
        <v>0</v>
      </c>
    </row>
    <row r="499" spans="1:12" hidden="1" x14ac:dyDescent="0.2">
      <c r="A499" s="16" t="s">
        <v>263</v>
      </c>
      <c r="B499" s="17" t="s">
        <v>301</v>
      </c>
      <c r="C499" s="17" t="s">
        <v>301</v>
      </c>
      <c r="D499" s="6" t="s">
        <v>622</v>
      </c>
      <c r="E499" s="6" t="s">
        <v>621</v>
      </c>
      <c r="F499" s="17" t="s">
        <v>317</v>
      </c>
      <c r="G499" s="50">
        <v>-1330013.56</v>
      </c>
      <c r="H499" s="37">
        <v>45658</v>
      </c>
      <c r="I499" s="45"/>
      <c r="J499" s="17" t="s">
        <v>24</v>
      </c>
      <c r="K499" s="17" t="s">
        <v>266</v>
      </c>
      <c r="L499" s="54">
        <f t="shared" si="163"/>
        <v>0</v>
      </c>
    </row>
    <row r="500" spans="1:12" hidden="1" x14ac:dyDescent="0.2">
      <c r="A500" s="16" t="s">
        <v>343</v>
      </c>
      <c r="B500" s="17" t="s">
        <v>349</v>
      </c>
      <c r="C500" s="17" t="s">
        <v>365</v>
      </c>
      <c r="D500" s="6" t="s">
        <v>622</v>
      </c>
      <c r="E500" s="6" t="s">
        <v>621</v>
      </c>
      <c r="F500" s="17" t="s">
        <v>584</v>
      </c>
      <c r="G500" s="50">
        <v>-1347945.3</v>
      </c>
      <c r="H500" s="37">
        <v>45658</v>
      </c>
      <c r="I500" s="45"/>
      <c r="J500" s="17" t="s">
        <v>24</v>
      </c>
      <c r="K500" s="17" t="s">
        <v>66</v>
      </c>
      <c r="L500" s="54">
        <f t="shared" si="163"/>
        <v>0</v>
      </c>
    </row>
    <row r="501" spans="1:12" hidden="1" x14ac:dyDescent="0.2">
      <c r="A501" s="18" t="s">
        <v>263</v>
      </c>
      <c r="B501" s="15" t="s">
        <v>301</v>
      </c>
      <c r="C501" s="15" t="s">
        <v>301</v>
      </c>
      <c r="D501" s="6" t="s">
        <v>622</v>
      </c>
      <c r="E501" s="6" t="s">
        <v>621</v>
      </c>
      <c r="F501" s="15" t="s">
        <v>316</v>
      </c>
      <c r="G501" s="51">
        <v>-1393641.95</v>
      </c>
      <c r="H501" s="38">
        <v>45658</v>
      </c>
      <c r="I501" s="44"/>
      <c r="J501" s="15" t="s">
        <v>24</v>
      </c>
      <c r="K501" s="17" t="s">
        <v>266</v>
      </c>
      <c r="L501" s="54">
        <f t="shared" si="163"/>
        <v>0</v>
      </c>
    </row>
    <row r="502" spans="1:12" hidden="1" x14ac:dyDescent="0.2">
      <c r="A502" s="18" t="s">
        <v>343</v>
      </c>
      <c r="B502" s="15" t="s">
        <v>349</v>
      </c>
      <c r="C502" s="15" t="s">
        <v>352</v>
      </c>
      <c r="D502" s="6" t="s">
        <v>622</v>
      </c>
      <c r="E502" s="6" t="s">
        <v>621</v>
      </c>
      <c r="F502" s="15" t="s">
        <v>371</v>
      </c>
      <c r="G502" s="51">
        <v>-1432107.0566666666</v>
      </c>
      <c r="H502" s="38">
        <v>45658</v>
      </c>
      <c r="I502" s="44" t="s">
        <v>372</v>
      </c>
      <c r="J502" s="15" t="s">
        <v>24</v>
      </c>
      <c r="K502" s="15" t="s">
        <v>66</v>
      </c>
      <c r="L502" s="54">
        <f t="shared" ref="L502:L503" si="164">(ISNUMBER(G502))-1</f>
        <v>0</v>
      </c>
    </row>
    <row r="503" spans="1:12" hidden="1" x14ac:dyDescent="0.2">
      <c r="A503" s="18" t="s">
        <v>201</v>
      </c>
      <c r="B503" s="15" t="s">
        <v>202</v>
      </c>
      <c r="C503" s="15" t="s">
        <v>213</v>
      </c>
      <c r="D503" s="6" t="s">
        <v>622</v>
      </c>
      <c r="E503" s="6" t="s">
        <v>205</v>
      </c>
      <c r="F503" s="15"/>
      <c r="G503" s="51">
        <v>-1664765.68</v>
      </c>
      <c r="H503" s="38">
        <v>45658</v>
      </c>
      <c r="I503" s="44"/>
      <c r="J503" s="15" t="s">
        <v>24</v>
      </c>
      <c r="K503" s="15" t="s">
        <v>25</v>
      </c>
      <c r="L503" s="54">
        <f t="shared" si="164"/>
        <v>0</v>
      </c>
    </row>
    <row r="504" spans="1:12" hidden="1" x14ac:dyDescent="0.2">
      <c r="A504" s="18" t="s">
        <v>201</v>
      </c>
      <c r="B504" s="15" t="s">
        <v>202</v>
      </c>
      <c r="C504" s="15" t="s">
        <v>213</v>
      </c>
      <c r="D504" s="6" t="s">
        <v>622</v>
      </c>
      <c r="E504" s="6" t="s">
        <v>204</v>
      </c>
      <c r="F504" s="15"/>
      <c r="G504" s="51">
        <v>-1717037.17</v>
      </c>
      <c r="H504" s="38">
        <v>45658</v>
      </c>
      <c r="I504" s="44"/>
      <c r="J504" s="15" t="s">
        <v>24</v>
      </c>
      <c r="K504" s="15" t="s">
        <v>25</v>
      </c>
      <c r="L504" s="54">
        <f t="shared" ref="L504:L508" si="165">(ISNUMBER(G504))-1</f>
        <v>0</v>
      </c>
    </row>
    <row r="505" spans="1:12" hidden="1" x14ac:dyDescent="0.2">
      <c r="A505" s="16" t="s">
        <v>343</v>
      </c>
      <c r="B505" s="17" t="s">
        <v>349</v>
      </c>
      <c r="C505" s="17" t="s">
        <v>352</v>
      </c>
      <c r="D505" s="6" t="s">
        <v>622</v>
      </c>
      <c r="E505" s="6" t="s">
        <v>621</v>
      </c>
      <c r="F505" s="17" t="s">
        <v>373</v>
      </c>
      <c r="G505" s="50">
        <v>-1862991.926666667</v>
      </c>
      <c r="H505" s="37">
        <v>45658</v>
      </c>
      <c r="I505" s="45"/>
      <c r="J505" s="17" t="s">
        <v>24</v>
      </c>
      <c r="K505" s="17" t="s">
        <v>66</v>
      </c>
      <c r="L505" s="54">
        <f t="shared" si="165"/>
        <v>0</v>
      </c>
    </row>
    <row r="506" spans="1:12" hidden="1" x14ac:dyDescent="0.2">
      <c r="A506" s="18" t="s">
        <v>221</v>
      </c>
      <c r="B506" s="15" t="s">
        <v>235</v>
      </c>
      <c r="C506" s="15" t="s">
        <v>241</v>
      </c>
      <c r="D506" s="6" t="s">
        <v>622</v>
      </c>
      <c r="E506" s="6" t="s">
        <v>621</v>
      </c>
      <c r="F506" s="15" t="s">
        <v>243</v>
      </c>
      <c r="G506" s="51">
        <v>-1870444.03</v>
      </c>
      <c r="H506" s="38">
        <v>45658</v>
      </c>
      <c r="I506" s="44"/>
      <c r="J506" s="15" t="s">
        <v>24</v>
      </c>
      <c r="K506" s="15" t="s">
        <v>66</v>
      </c>
      <c r="L506" s="54">
        <f t="shared" si="165"/>
        <v>0</v>
      </c>
    </row>
    <row r="507" spans="1:12" hidden="1" x14ac:dyDescent="0.2">
      <c r="A507" s="16" t="s">
        <v>343</v>
      </c>
      <c r="B507" s="17" t="s">
        <v>349</v>
      </c>
      <c r="C507" s="17" t="s">
        <v>487</v>
      </c>
      <c r="D507" s="6" t="s">
        <v>622</v>
      </c>
      <c r="E507" s="6" t="s">
        <v>621</v>
      </c>
      <c r="F507" s="17" t="s">
        <v>488</v>
      </c>
      <c r="G507" s="50">
        <v>-1903270.95</v>
      </c>
      <c r="H507" s="37">
        <v>45658</v>
      </c>
      <c r="I507" s="45"/>
      <c r="J507" s="17" t="s">
        <v>24</v>
      </c>
      <c r="K507" s="17" t="s">
        <v>66</v>
      </c>
      <c r="L507" s="54">
        <f t="shared" si="165"/>
        <v>0</v>
      </c>
    </row>
    <row r="508" spans="1:12" hidden="1" x14ac:dyDescent="0.2">
      <c r="A508" s="16" t="s">
        <v>263</v>
      </c>
      <c r="B508" s="17" t="s">
        <v>301</v>
      </c>
      <c r="C508" s="17" t="s">
        <v>301</v>
      </c>
      <c r="D508" s="6" t="s">
        <v>30</v>
      </c>
      <c r="E508" s="6" t="s">
        <v>621</v>
      </c>
      <c r="F508" s="17" t="s">
        <v>315</v>
      </c>
      <c r="G508" s="50">
        <v>-1966416.04</v>
      </c>
      <c r="H508" s="37">
        <v>45658</v>
      </c>
      <c r="I508" s="45"/>
      <c r="J508" s="17" t="s">
        <v>24</v>
      </c>
      <c r="K508" s="17" t="s">
        <v>266</v>
      </c>
      <c r="L508" s="54">
        <f t="shared" si="165"/>
        <v>0</v>
      </c>
    </row>
    <row r="509" spans="1:12" hidden="1" x14ac:dyDescent="0.2">
      <c r="A509" s="18" t="s">
        <v>263</v>
      </c>
      <c r="B509" s="15" t="s">
        <v>301</v>
      </c>
      <c r="C509" s="15" t="e">
        <f>Data_BI!#REF!</f>
        <v>#REF!</v>
      </c>
      <c r="D509" s="10" t="s">
        <v>30</v>
      </c>
      <c r="E509" s="6" t="s">
        <v>621</v>
      </c>
      <c r="F509" s="15" t="s">
        <v>314</v>
      </c>
      <c r="G509" s="51">
        <v>-1975406.76</v>
      </c>
      <c r="H509" s="38">
        <v>45658</v>
      </c>
      <c r="I509" s="44" t="s">
        <v>268</v>
      </c>
      <c r="J509" s="15" t="s">
        <v>24</v>
      </c>
      <c r="K509" s="17" t="s">
        <v>266</v>
      </c>
      <c r="L509" s="54">
        <f t="shared" ref="L509:L514" si="166">(ISNUMBER(G509))-1</f>
        <v>0</v>
      </c>
    </row>
    <row r="510" spans="1:12" hidden="1" x14ac:dyDescent="0.2">
      <c r="A510" s="18" t="s">
        <v>343</v>
      </c>
      <c r="B510" s="15" t="s">
        <v>349</v>
      </c>
      <c r="C510" s="15" t="s">
        <v>365</v>
      </c>
      <c r="D510" s="6" t="s">
        <v>622</v>
      </c>
      <c r="E510" s="6" t="s">
        <v>621</v>
      </c>
      <c r="F510" s="15" t="s">
        <v>541</v>
      </c>
      <c r="G510" s="51">
        <v>-2162508</v>
      </c>
      <c r="H510" s="38">
        <v>45658</v>
      </c>
      <c r="I510" s="44"/>
      <c r="J510" s="15" t="s">
        <v>24</v>
      </c>
      <c r="K510" s="15" t="s">
        <v>66</v>
      </c>
      <c r="L510" s="54">
        <f t="shared" si="166"/>
        <v>0</v>
      </c>
    </row>
    <row r="511" spans="1:12" hidden="1" x14ac:dyDescent="0.2">
      <c r="A511" s="16" t="s">
        <v>440</v>
      </c>
      <c r="B511" s="17" t="s">
        <v>440</v>
      </c>
      <c r="C511" s="17" t="e">
        <f>Data_BI!#REF!</f>
        <v>#REF!</v>
      </c>
      <c r="D511" s="6" t="s">
        <v>622</v>
      </c>
      <c r="E511" s="6" t="s">
        <v>621</v>
      </c>
      <c r="F511" s="17" t="s">
        <v>445</v>
      </c>
      <c r="G511" s="50">
        <v>-2301993</v>
      </c>
      <c r="H511" s="37">
        <v>45658</v>
      </c>
      <c r="I511" s="45"/>
      <c r="J511" s="17" t="s">
        <v>24</v>
      </c>
      <c r="K511" s="17" t="s">
        <v>442</v>
      </c>
      <c r="L511" s="54">
        <f t="shared" si="166"/>
        <v>0</v>
      </c>
    </row>
    <row r="512" spans="1:12" hidden="1" x14ac:dyDescent="0.2">
      <c r="A512" s="16" t="s">
        <v>343</v>
      </c>
      <c r="B512" s="17" t="s">
        <v>349</v>
      </c>
      <c r="C512" s="17" t="s">
        <v>365</v>
      </c>
      <c r="D512" s="6" t="s">
        <v>622</v>
      </c>
      <c r="E512" s="6" t="s">
        <v>621</v>
      </c>
      <c r="F512" s="17" t="s">
        <v>570</v>
      </c>
      <c r="G512" s="50">
        <v>-2351314.0099999998</v>
      </c>
      <c r="H512" s="37">
        <v>45658</v>
      </c>
      <c r="I512" s="45"/>
      <c r="J512" s="17" t="s">
        <v>24</v>
      </c>
      <c r="K512" s="17" t="s">
        <v>66</v>
      </c>
      <c r="L512" s="54">
        <f t="shared" si="166"/>
        <v>0</v>
      </c>
    </row>
    <row r="513" spans="1:12" hidden="1" x14ac:dyDescent="0.2">
      <c r="A513" s="18" t="s">
        <v>440</v>
      </c>
      <c r="B513" s="15" t="s">
        <v>440</v>
      </c>
      <c r="C513" s="15" t="e">
        <f>Data_BI!#REF!</f>
        <v>#REF!</v>
      </c>
      <c r="D513" s="6" t="s">
        <v>622</v>
      </c>
      <c r="E513" s="6" t="s">
        <v>621</v>
      </c>
      <c r="F513" s="15" t="s">
        <v>444</v>
      </c>
      <c r="G513" s="51">
        <v>-2404548</v>
      </c>
      <c r="H513" s="38">
        <v>45658</v>
      </c>
      <c r="I513" s="44"/>
      <c r="J513" s="15" t="s">
        <v>24</v>
      </c>
      <c r="K513" s="15" t="s">
        <v>442</v>
      </c>
      <c r="L513" s="54">
        <f t="shared" si="166"/>
        <v>0</v>
      </c>
    </row>
    <row r="514" spans="1:12" hidden="1" x14ac:dyDescent="0.2">
      <c r="A514" s="16" t="s">
        <v>263</v>
      </c>
      <c r="B514" s="17" t="s">
        <v>301</v>
      </c>
      <c r="C514" s="17" t="s">
        <v>301</v>
      </c>
      <c r="D514" s="6" t="s">
        <v>622</v>
      </c>
      <c r="E514" s="6" t="s">
        <v>621</v>
      </c>
      <c r="F514" s="17" t="s">
        <v>313</v>
      </c>
      <c r="G514" s="50">
        <v>-2430729.25</v>
      </c>
      <c r="H514" s="37">
        <v>45658</v>
      </c>
      <c r="I514" s="45"/>
      <c r="J514" s="17" t="s">
        <v>24</v>
      </c>
      <c r="K514" s="17" t="s">
        <v>266</v>
      </c>
      <c r="L514" s="54">
        <f t="shared" si="166"/>
        <v>0</v>
      </c>
    </row>
    <row r="515" spans="1:12" hidden="1" x14ac:dyDescent="0.2">
      <c r="A515" s="18" t="s">
        <v>343</v>
      </c>
      <c r="B515" s="15" t="s">
        <v>411</v>
      </c>
      <c r="C515" s="15" t="e">
        <f>Data_BI!#REF!</f>
        <v>#REF!</v>
      </c>
      <c r="D515" s="6" t="s">
        <v>622</v>
      </c>
      <c r="E515" s="6" t="s">
        <v>621</v>
      </c>
      <c r="F515" s="15" t="s">
        <v>423</v>
      </c>
      <c r="G515" s="51">
        <v>-2478368.98</v>
      </c>
      <c r="H515" s="38">
        <v>45658</v>
      </c>
      <c r="I515" s="44" t="s">
        <v>421</v>
      </c>
      <c r="J515" s="15" t="s">
        <v>24</v>
      </c>
      <c r="K515" s="15" t="s">
        <v>66</v>
      </c>
      <c r="L515" s="54">
        <f t="shared" ref="L515:L519" si="167">(ISNUMBER(G515))-1</f>
        <v>0</v>
      </c>
    </row>
    <row r="516" spans="1:12" hidden="1" x14ac:dyDescent="0.2">
      <c r="A516" s="20" t="s">
        <v>15</v>
      </c>
      <c r="B516" s="14" t="s">
        <v>63</v>
      </c>
      <c r="C516" s="14" t="s">
        <v>69</v>
      </c>
      <c r="D516" s="6" t="s">
        <v>30</v>
      </c>
      <c r="E516" s="6" t="s">
        <v>621</v>
      </c>
      <c r="F516" s="14" t="s">
        <v>71</v>
      </c>
      <c r="G516" s="53">
        <v>-2574745.64</v>
      </c>
      <c r="H516" s="40">
        <v>45658</v>
      </c>
      <c r="I516" s="45"/>
      <c r="J516" s="17" t="s">
        <v>24</v>
      </c>
      <c r="K516" s="43" t="s">
        <v>66</v>
      </c>
      <c r="L516" s="54">
        <f t="shared" si="167"/>
        <v>0</v>
      </c>
    </row>
    <row r="517" spans="1:12" hidden="1" x14ac:dyDescent="0.2">
      <c r="A517" s="20" t="s">
        <v>201</v>
      </c>
      <c r="B517" s="14" t="s">
        <v>218</v>
      </c>
      <c r="C517" s="14" t="s">
        <v>219</v>
      </c>
      <c r="D517" s="6" t="s">
        <v>622</v>
      </c>
      <c r="E517" s="6" t="s">
        <v>621</v>
      </c>
      <c r="F517" s="14" t="s">
        <v>219</v>
      </c>
      <c r="G517" s="53">
        <v>-2583768.3400001074</v>
      </c>
      <c r="H517" s="40">
        <v>45658</v>
      </c>
      <c r="I517" s="45"/>
      <c r="J517" s="17" t="s">
        <v>24</v>
      </c>
      <c r="K517" s="43" t="s">
        <v>220</v>
      </c>
      <c r="L517" s="54">
        <f t="shared" si="167"/>
        <v>0</v>
      </c>
    </row>
    <row r="518" spans="1:12" hidden="1" x14ac:dyDescent="0.2">
      <c r="A518" s="19" t="s">
        <v>81</v>
      </c>
      <c r="B518" s="13" t="s">
        <v>168</v>
      </c>
      <c r="C518" s="13" t="s">
        <v>354</v>
      </c>
      <c r="D518" s="6" t="s">
        <v>622</v>
      </c>
      <c r="E518" s="6" t="s">
        <v>621</v>
      </c>
      <c r="F518" s="13" t="s">
        <v>355</v>
      </c>
      <c r="G518" s="52">
        <v>-2650500</v>
      </c>
      <c r="H518" s="39">
        <v>45658</v>
      </c>
      <c r="I518" s="44"/>
      <c r="J518" s="15" t="s">
        <v>24</v>
      </c>
      <c r="K518" s="1" t="s">
        <v>66</v>
      </c>
      <c r="L518" s="54">
        <f t="shared" si="167"/>
        <v>0</v>
      </c>
    </row>
    <row r="519" spans="1:12" hidden="1" x14ac:dyDescent="0.2">
      <c r="A519" s="19" t="s">
        <v>343</v>
      </c>
      <c r="B519" s="13" t="s">
        <v>349</v>
      </c>
      <c r="C519" s="13" t="s">
        <v>365</v>
      </c>
      <c r="D519" s="6" t="s">
        <v>622</v>
      </c>
      <c r="E519" s="6" t="s">
        <v>621</v>
      </c>
      <c r="F519" s="13" t="s">
        <v>557</v>
      </c>
      <c r="G519" s="52">
        <v>-2837366.6666666665</v>
      </c>
      <c r="H519" s="39">
        <v>45658</v>
      </c>
      <c r="I519" s="44"/>
      <c r="J519" s="15" t="s">
        <v>24</v>
      </c>
      <c r="K519" s="1" t="s">
        <v>66</v>
      </c>
      <c r="L519" s="54">
        <f t="shared" si="167"/>
        <v>0</v>
      </c>
    </row>
    <row r="520" spans="1:12" hidden="1" x14ac:dyDescent="0.2">
      <c r="A520" s="19" t="s">
        <v>343</v>
      </c>
      <c r="B520" s="13" t="s">
        <v>349</v>
      </c>
      <c r="C520" s="13" t="s">
        <v>365</v>
      </c>
      <c r="D520" s="6" t="s">
        <v>622</v>
      </c>
      <c r="E520" s="6" t="s">
        <v>621</v>
      </c>
      <c r="F520" s="13" t="s">
        <v>577</v>
      </c>
      <c r="G520" s="52">
        <v>-3022249.9333333336</v>
      </c>
      <c r="H520" s="39">
        <v>45658</v>
      </c>
      <c r="I520" s="44"/>
      <c r="J520" s="15" t="s">
        <v>24</v>
      </c>
      <c r="K520" s="1" t="s">
        <v>66</v>
      </c>
      <c r="L520" s="54">
        <f t="shared" ref="L520:L524" si="168">(ISNUMBER(G520))-1</f>
        <v>0</v>
      </c>
    </row>
    <row r="521" spans="1:12" hidden="1" x14ac:dyDescent="0.2">
      <c r="A521" s="20" t="s">
        <v>343</v>
      </c>
      <c r="B521" s="14" t="s">
        <v>344</v>
      </c>
      <c r="C521" s="14" t="e">
        <f>Data_BI!#REF!</f>
        <v>#REF!</v>
      </c>
      <c r="D521" s="6" t="s">
        <v>622</v>
      </c>
      <c r="E521" s="6" t="s">
        <v>621</v>
      </c>
      <c r="F521" s="14" t="s">
        <v>346</v>
      </c>
      <c r="G521" s="53">
        <v>-3067492.64</v>
      </c>
      <c r="H521" s="40">
        <v>45658</v>
      </c>
      <c r="I521" s="45"/>
      <c r="J521" s="17" t="s">
        <v>24</v>
      </c>
      <c r="K521" s="43" t="s">
        <v>66</v>
      </c>
      <c r="L521" s="54">
        <f t="shared" si="168"/>
        <v>0</v>
      </c>
    </row>
    <row r="522" spans="1:12" hidden="1" x14ac:dyDescent="0.2">
      <c r="A522" s="19" t="s">
        <v>343</v>
      </c>
      <c r="B522" s="13" t="s">
        <v>349</v>
      </c>
      <c r="C522" s="13" t="s">
        <v>365</v>
      </c>
      <c r="D522" s="6" t="s">
        <v>622</v>
      </c>
      <c r="E522" s="6" t="s">
        <v>621</v>
      </c>
      <c r="F522" s="13" t="s">
        <v>366</v>
      </c>
      <c r="G522" s="52">
        <v>-3175200</v>
      </c>
      <c r="H522" s="39">
        <v>45658</v>
      </c>
      <c r="I522" s="44"/>
      <c r="J522" s="15" t="s">
        <v>24</v>
      </c>
      <c r="K522" s="1" t="s">
        <v>66</v>
      </c>
      <c r="L522" s="54">
        <f t="shared" si="168"/>
        <v>0</v>
      </c>
    </row>
    <row r="523" spans="1:12" hidden="1" x14ac:dyDescent="0.2">
      <c r="A523" s="19" t="s">
        <v>263</v>
      </c>
      <c r="B523" s="13" t="s">
        <v>301</v>
      </c>
      <c r="C523" s="13" t="s">
        <v>301</v>
      </c>
      <c r="D523" s="10" t="s">
        <v>30</v>
      </c>
      <c r="E523" s="6" t="s">
        <v>621</v>
      </c>
      <c r="F523" s="13" t="s">
        <v>312</v>
      </c>
      <c r="G523" s="52">
        <v>-3361760.66</v>
      </c>
      <c r="H523" s="39">
        <v>45658</v>
      </c>
      <c r="I523" s="44"/>
      <c r="J523" s="15" t="s">
        <v>24</v>
      </c>
      <c r="K523" s="43" t="s">
        <v>266</v>
      </c>
      <c r="L523" s="54">
        <f t="shared" si="168"/>
        <v>0</v>
      </c>
    </row>
    <row r="524" spans="1:12" hidden="1" x14ac:dyDescent="0.2">
      <c r="A524" s="20" t="s">
        <v>201</v>
      </c>
      <c r="B524" s="14" t="s">
        <v>202</v>
      </c>
      <c r="C524" s="14" t="s">
        <v>213</v>
      </c>
      <c r="D524" s="6" t="s">
        <v>622</v>
      </c>
      <c r="E524" s="6" t="s">
        <v>204</v>
      </c>
      <c r="F524" s="14"/>
      <c r="G524" s="53">
        <v>-3430753.85</v>
      </c>
      <c r="H524" s="40">
        <v>45658</v>
      </c>
      <c r="I524" s="45"/>
      <c r="J524" s="17" t="s">
        <v>24</v>
      </c>
      <c r="K524" s="43" t="s">
        <v>25</v>
      </c>
      <c r="L524" s="54">
        <f t="shared" si="168"/>
        <v>0</v>
      </c>
    </row>
    <row r="525" spans="1:12" hidden="1" x14ac:dyDescent="0.2">
      <c r="A525" s="20" t="s">
        <v>81</v>
      </c>
      <c r="B525" s="14" t="s">
        <v>168</v>
      </c>
      <c r="C525" s="14" t="s">
        <v>186</v>
      </c>
      <c r="D525" s="6" t="s">
        <v>622</v>
      </c>
      <c r="E525" s="6" t="s">
        <v>621</v>
      </c>
      <c r="F525" s="14" t="s">
        <v>187</v>
      </c>
      <c r="G525" s="53">
        <v>-3719782.66</v>
      </c>
      <c r="H525" s="40">
        <v>45658</v>
      </c>
      <c r="I525" s="45"/>
      <c r="J525" s="17" t="s">
        <v>24</v>
      </c>
      <c r="K525" s="43" t="s">
        <v>66</v>
      </c>
      <c r="L525" s="54">
        <f t="shared" ref="L525:L527" si="169">(ISNUMBER(G525))-1</f>
        <v>0</v>
      </c>
    </row>
    <row r="526" spans="1:12" hidden="1" x14ac:dyDescent="0.2">
      <c r="A526" s="20" t="s">
        <v>343</v>
      </c>
      <c r="B526" s="14" t="s">
        <v>349</v>
      </c>
      <c r="C526" s="14" t="s">
        <v>487</v>
      </c>
      <c r="D526" s="6" t="s">
        <v>622</v>
      </c>
      <c r="E526" s="6" t="s">
        <v>621</v>
      </c>
      <c r="F526" s="14" t="s">
        <v>492</v>
      </c>
      <c r="G526" s="53">
        <v>-3842077.9433333334</v>
      </c>
      <c r="H526" s="40">
        <v>45658</v>
      </c>
      <c r="I526" s="45"/>
      <c r="J526" s="17" t="s">
        <v>24</v>
      </c>
      <c r="K526" s="43" t="s">
        <v>66</v>
      </c>
      <c r="L526" s="54">
        <f t="shared" si="169"/>
        <v>0</v>
      </c>
    </row>
    <row r="527" spans="1:12" hidden="1" x14ac:dyDescent="0.2">
      <c r="A527" s="20" t="s">
        <v>221</v>
      </c>
      <c r="B527" s="14" t="s">
        <v>235</v>
      </c>
      <c r="C527" s="14" t="s">
        <v>241</v>
      </c>
      <c r="D527" s="6" t="s">
        <v>622</v>
      </c>
      <c r="E527" s="6" t="s">
        <v>621</v>
      </c>
      <c r="F527" s="14" t="s">
        <v>242</v>
      </c>
      <c r="G527" s="53">
        <v>-3996467.9</v>
      </c>
      <c r="H527" s="40">
        <v>45658</v>
      </c>
      <c r="I527" s="45"/>
      <c r="J527" s="17" t="s">
        <v>24</v>
      </c>
      <c r="K527" s="43" t="s">
        <v>66</v>
      </c>
      <c r="L527" s="54">
        <f t="shared" si="169"/>
        <v>0</v>
      </c>
    </row>
    <row r="528" spans="1:12" hidden="1" x14ac:dyDescent="0.2">
      <c r="A528" s="20" t="s">
        <v>343</v>
      </c>
      <c r="B528" s="14" t="s">
        <v>349</v>
      </c>
      <c r="C528" s="14" t="s">
        <v>487</v>
      </c>
      <c r="D528" s="6" t="s">
        <v>622</v>
      </c>
      <c r="E528" s="6" t="s">
        <v>621</v>
      </c>
      <c r="F528" s="14" t="s">
        <v>490</v>
      </c>
      <c r="G528" s="53">
        <v>-4198527.083333333</v>
      </c>
      <c r="H528" s="40">
        <v>45658</v>
      </c>
      <c r="I528" s="45"/>
      <c r="J528" s="17" t="s">
        <v>24</v>
      </c>
      <c r="K528" s="43" t="s">
        <v>66</v>
      </c>
      <c r="L528" s="54">
        <f t="shared" ref="L528:L531" si="170">(ISNUMBER(G528))-1</f>
        <v>0</v>
      </c>
    </row>
    <row r="529" spans="1:12" hidden="1" x14ac:dyDescent="0.2">
      <c r="A529" s="20" t="s">
        <v>343</v>
      </c>
      <c r="B529" s="14" t="s">
        <v>411</v>
      </c>
      <c r="C529" s="14" t="str">
        <f>Data_BI!$B20</f>
        <v>Наличные</v>
      </c>
      <c r="D529" s="6" t="s">
        <v>622</v>
      </c>
      <c r="E529" s="6" t="s">
        <v>621</v>
      </c>
      <c r="F529" s="14" t="s">
        <v>422</v>
      </c>
      <c r="G529" s="53">
        <v>-4258950.6499999901</v>
      </c>
      <c r="H529" s="40">
        <v>45658</v>
      </c>
      <c r="I529" s="45"/>
      <c r="J529" s="17" t="s">
        <v>24</v>
      </c>
      <c r="K529" s="43" t="s">
        <v>66</v>
      </c>
      <c r="L529" s="54">
        <f t="shared" si="170"/>
        <v>0</v>
      </c>
    </row>
    <row r="530" spans="1:12" hidden="1" x14ac:dyDescent="0.2">
      <c r="A530" s="19" t="s">
        <v>15</v>
      </c>
      <c r="B530" s="13" t="s">
        <v>63</v>
      </c>
      <c r="C530" s="10" t="s">
        <v>76</v>
      </c>
      <c r="D530" s="10" t="s">
        <v>38</v>
      </c>
      <c r="E530" s="6" t="s">
        <v>621</v>
      </c>
      <c r="F530" s="13" t="s">
        <v>78</v>
      </c>
      <c r="G530" s="52">
        <v>-4642899.71</v>
      </c>
      <c r="H530" s="39">
        <v>45658</v>
      </c>
      <c r="I530" s="44"/>
      <c r="J530" s="15" t="s">
        <v>24</v>
      </c>
      <c r="K530" s="12" t="s">
        <v>66</v>
      </c>
      <c r="L530" s="54">
        <f t="shared" si="170"/>
        <v>0</v>
      </c>
    </row>
    <row r="531" spans="1:12" hidden="1" x14ac:dyDescent="0.2">
      <c r="A531" s="19" t="s">
        <v>343</v>
      </c>
      <c r="B531" s="13" t="s">
        <v>349</v>
      </c>
      <c r="C531" s="10" t="s">
        <v>487</v>
      </c>
      <c r="D531" s="6" t="s">
        <v>622</v>
      </c>
      <c r="E531" s="6" t="s">
        <v>621</v>
      </c>
      <c r="F531" s="13" t="s">
        <v>489</v>
      </c>
      <c r="G531" s="52">
        <v>-4940737.54</v>
      </c>
      <c r="H531" s="39">
        <v>45658</v>
      </c>
      <c r="I531" s="44"/>
      <c r="J531" s="15" t="s">
        <v>24</v>
      </c>
      <c r="K531" s="12" t="s">
        <v>66</v>
      </c>
      <c r="L531" s="54">
        <f t="shared" si="170"/>
        <v>0</v>
      </c>
    </row>
    <row r="532" spans="1:12" hidden="1" x14ac:dyDescent="0.2">
      <c r="A532" s="20" t="s">
        <v>263</v>
      </c>
      <c r="B532" s="14" t="s">
        <v>301</v>
      </c>
      <c r="C532" s="14" t="s">
        <v>301</v>
      </c>
      <c r="D532" s="6" t="s">
        <v>622</v>
      </c>
      <c r="E532" s="6" t="s">
        <v>621</v>
      </c>
      <c r="F532" s="14" t="s">
        <v>311</v>
      </c>
      <c r="G532" s="53">
        <v>-5194752.46</v>
      </c>
      <c r="H532" s="40">
        <v>45658</v>
      </c>
      <c r="I532" s="45"/>
      <c r="J532" s="17" t="s">
        <v>24</v>
      </c>
      <c r="K532" s="43" t="s">
        <v>266</v>
      </c>
      <c r="L532" s="54">
        <f t="shared" ref="L532:L538" si="171">(ISNUMBER(G532))-1</f>
        <v>0</v>
      </c>
    </row>
    <row r="533" spans="1:12" hidden="1" x14ac:dyDescent="0.2">
      <c r="A533" s="19" t="s">
        <v>263</v>
      </c>
      <c r="B533" s="13" t="s">
        <v>301</v>
      </c>
      <c r="C533" s="13" t="s">
        <v>301</v>
      </c>
      <c r="D533" s="10" t="s">
        <v>38</v>
      </c>
      <c r="E533" s="6" t="s">
        <v>621</v>
      </c>
      <c r="F533" s="13" t="s">
        <v>310</v>
      </c>
      <c r="G533" s="52">
        <v>-5357079.04</v>
      </c>
      <c r="H533" s="39">
        <v>45658</v>
      </c>
      <c r="I533" s="44"/>
      <c r="J533" s="15" t="s">
        <v>24</v>
      </c>
      <c r="K533" s="43" t="s">
        <v>266</v>
      </c>
      <c r="L533" s="54">
        <f t="shared" si="171"/>
        <v>0</v>
      </c>
    </row>
    <row r="534" spans="1:12" hidden="1" x14ac:dyDescent="0.2">
      <c r="A534" s="20" t="s">
        <v>201</v>
      </c>
      <c r="B534" s="14" t="s">
        <v>202</v>
      </c>
      <c r="C534" s="14" t="s">
        <v>213</v>
      </c>
      <c r="D534" s="6" t="s">
        <v>622</v>
      </c>
      <c r="E534" s="6" t="s">
        <v>207</v>
      </c>
      <c r="F534" s="14"/>
      <c r="G534" s="53">
        <v>-5449425.7800000003</v>
      </c>
      <c r="H534" s="40">
        <v>45658</v>
      </c>
      <c r="I534" s="45"/>
      <c r="J534" s="17" t="s">
        <v>24</v>
      </c>
      <c r="K534" s="43" t="s">
        <v>25</v>
      </c>
      <c r="L534" s="54">
        <f t="shared" si="171"/>
        <v>0</v>
      </c>
    </row>
    <row r="535" spans="1:12" hidden="1" x14ac:dyDescent="0.2">
      <c r="A535" s="19" t="s">
        <v>201</v>
      </c>
      <c r="B535" s="13" t="s">
        <v>214</v>
      </c>
      <c r="C535" s="13" t="s">
        <v>217</v>
      </c>
      <c r="D535" s="6" t="s">
        <v>622</v>
      </c>
      <c r="E535" s="6" t="s">
        <v>206</v>
      </c>
      <c r="F535" s="13"/>
      <c r="G535" s="52">
        <v>-5540977.8199999901</v>
      </c>
      <c r="H535" s="39">
        <v>45658</v>
      </c>
      <c r="I535" s="44"/>
      <c r="J535" s="15" t="s">
        <v>24</v>
      </c>
      <c r="K535" s="1" t="s">
        <v>25</v>
      </c>
      <c r="L535" s="54">
        <f t="shared" si="171"/>
        <v>0</v>
      </c>
    </row>
    <row r="536" spans="1:12" hidden="1" x14ac:dyDescent="0.2">
      <c r="A536" s="19" t="s">
        <v>81</v>
      </c>
      <c r="B536" s="13" t="s">
        <v>168</v>
      </c>
      <c r="C536" s="13" t="s">
        <v>103</v>
      </c>
      <c r="D536" s="6" t="s">
        <v>622</v>
      </c>
      <c r="E536" s="6" t="s">
        <v>621</v>
      </c>
      <c r="F536" s="13" t="s">
        <v>197</v>
      </c>
      <c r="G536" s="52">
        <v>-5695881.96</v>
      </c>
      <c r="H536" s="39">
        <v>45658</v>
      </c>
      <c r="I536" s="44"/>
      <c r="J536" s="15" t="s">
        <v>24</v>
      </c>
      <c r="K536" s="1" t="s">
        <v>66</v>
      </c>
      <c r="L536" s="54">
        <f t="shared" si="171"/>
        <v>0</v>
      </c>
    </row>
    <row r="537" spans="1:12" hidden="1" x14ac:dyDescent="0.2">
      <c r="A537" s="20" t="s">
        <v>263</v>
      </c>
      <c r="B537" s="14" t="s">
        <v>301</v>
      </c>
      <c r="C537" s="14" t="e">
        <f>Data_BI!#REF!</f>
        <v>#REF!</v>
      </c>
      <c r="D537" s="6" t="s">
        <v>622</v>
      </c>
      <c r="E537" s="6" t="s">
        <v>621</v>
      </c>
      <c r="F537" s="14" t="s">
        <v>297</v>
      </c>
      <c r="G537" s="53">
        <v>-5976141.0899999999</v>
      </c>
      <c r="H537" s="40">
        <v>45658</v>
      </c>
      <c r="I537" s="45" t="s">
        <v>268</v>
      </c>
      <c r="J537" s="17" t="s">
        <v>24</v>
      </c>
      <c r="K537" s="43" t="s">
        <v>266</v>
      </c>
      <c r="L537" s="54">
        <f t="shared" si="171"/>
        <v>0</v>
      </c>
    </row>
    <row r="538" spans="1:12" hidden="1" x14ac:dyDescent="0.2">
      <c r="A538" s="20" t="s">
        <v>81</v>
      </c>
      <c r="B538" s="14" t="s">
        <v>168</v>
      </c>
      <c r="C538" s="14" t="s">
        <v>171</v>
      </c>
      <c r="D538" s="6" t="s">
        <v>622</v>
      </c>
      <c r="E538" s="6" t="s">
        <v>621</v>
      </c>
      <c r="F538" s="14" t="s">
        <v>174</v>
      </c>
      <c r="G538" s="53">
        <v>-6091041.96</v>
      </c>
      <c r="H538" s="40">
        <v>45658</v>
      </c>
      <c r="I538" s="45" t="s">
        <v>175</v>
      </c>
      <c r="J538" s="17" t="s">
        <v>24</v>
      </c>
      <c r="K538" s="8" t="s">
        <v>66</v>
      </c>
      <c r="L538" s="54">
        <f t="shared" si="171"/>
        <v>0</v>
      </c>
    </row>
    <row r="539" spans="1:12" hidden="1" x14ac:dyDescent="0.2">
      <c r="A539" s="19" t="s">
        <v>343</v>
      </c>
      <c r="B539" s="13" t="s">
        <v>344</v>
      </c>
      <c r="C539" s="13" t="e">
        <f>Data_BI!#REF!</f>
        <v>#REF!</v>
      </c>
      <c r="D539" s="6" t="s">
        <v>622</v>
      </c>
      <c r="E539" s="6" t="s">
        <v>621</v>
      </c>
      <c r="F539" s="13" t="s">
        <v>345</v>
      </c>
      <c r="G539" s="52">
        <v>-6662070.6900000004</v>
      </c>
      <c r="H539" s="39">
        <v>45658</v>
      </c>
      <c r="I539" s="44"/>
      <c r="J539" s="15" t="s">
        <v>24</v>
      </c>
      <c r="K539" s="12" t="s">
        <v>66</v>
      </c>
      <c r="L539" s="54">
        <f t="shared" ref="L539:L541" si="172">(ISNUMBER(G539))-1</f>
        <v>0</v>
      </c>
    </row>
    <row r="540" spans="1:12" hidden="1" x14ac:dyDescent="0.2">
      <c r="A540" s="19" t="s">
        <v>263</v>
      </c>
      <c r="B540" s="13" t="s">
        <v>301</v>
      </c>
      <c r="C540" s="13" t="s">
        <v>301</v>
      </c>
      <c r="D540" s="10" t="s">
        <v>38</v>
      </c>
      <c r="E540" s="6" t="s">
        <v>621</v>
      </c>
      <c r="F540" s="13" t="s">
        <v>309</v>
      </c>
      <c r="G540" s="52">
        <v>-7040479.5899999999</v>
      </c>
      <c r="H540" s="39">
        <v>45658</v>
      </c>
      <c r="I540" s="44"/>
      <c r="J540" s="15" t="s">
        <v>24</v>
      </c>
      <c r="K540" s="8" t="s">
        <v>266</v>
      </c>
      <c r="L540" s="54">
        <f t="shared" si="172"/>
        <v>0</v>
      </c>
    </row>
    <row r="541" spans="1:12" hidden="1" x14ac:dyDescent="0.2">
      <c r="A541" s="20" t="s">
        <v>263</v>
      </c>
      <c r="B541" s="14" t="s">
        <v>301</v>
      </c>
      <c r="C541" s="14" t="e">
        <f>Data_BI!#REF!</f>
        <v>#REF!</v>
      </c>
      <c r="D541" s="6" t="s">
        <v>622</v>
      </c>
      <c r="E541" s="6" t="s">
        <v>621</v>
      </c>
      <c r="F541" s="14" t="s">
        <v>295</v>
      </c>
      <c r="G541" s="53">
        <v>-7076482.9199999999</v>
      </c>
      <c r="H541" s="40">
        <v>45658</v>
      </c>
      <c r="I541" s="45" t="s">
        <v>268</v>
      </c>
      <c r="J541" s="17" t="s">
        <v>24</v>
      </c>
      <c r="K541" s="8" t="s">
        <v>266</v>
      </c>
      <c r="L541" s="54">
        <f t="shared" si="172"/>
        <v>0</v>
      </c>
    </row>
    <row r="542" spans="1:12" hidden="1" x14ac:dyDescent="0.2">
      <c r="A542" s="19" t="s">
        <v>263</v>
      </c>
      <c r="B542" s="13" t="s">
        <v>301</v>
      </c>
      <c r="C542" s="13" t="e">
        <f>Data_BI!#REF!</f>
        <v>#REF!</v>
      </c>
      <c r="D542" s="6" t="s">
        <v>622</v>
      </c>
      <c r="E542" s="6" t="s">
        <v>621</v>
      </c>
      <c r="F542" s="13" t="s">
        <v>308</v>
      </c>
      <c r="G542" s="52">
        <v>-8210318.4000000004</v>
      </c>
      <c r="H542" s="39">
        <v>45658</v>
      </c>
      <c r="I542" s="44" t="s">
        <v>268</v>
      </c>
      <c r="J542" s="15" t="s">
        <v>24</v>
      </c>
      <c r="K542" s="8" t="s">
        <v>266</v>
      </c>
      <c r="L542" s="54">
        <f t="shared" ref="L542:L546" si="173">(ISNUMBER(G542))-1</f>
        <v>0</v>
      </c>
    </row>
    <row r="543" spans="1:12" hidden="1" x14ac:dyDescent="0.2">
      <c r="A543" s="19" t="s">
        <v>343</v>
      </c>
      <c r="B543" s="13" t="s">
        <v>411</v>
      </c>
      <c r="C543" s="13" t="e">
        <f>Data_BI!#REF!</f>
        <v>#REF!</v>
      </c>
      <c r="D543" s="6" t="s">
        <v>622</v>
      </c>
      <c r="E543" s="6" t="s">
        <v>621</v>
      </c>
      <c r="F543" s="13" t="s">
        <v>420</v>
      </c>
      <c r="G543" s="52">
        <v>-8261229.9199999999</v>
      </c>
      <c r="H543" s="39">
        <v>45658</v>
      </c>
      <c r="I543" s="44" t="s">
        <v>421</v>
      </c>
      <c r="J543" s="15" t="s">
        <v>24</v>
      </c>
      <c r="K543" s="12" t="s">
        <v>66</v>
      </c>
      <c r="L543" s="54">
        <f t="shared" si="173"/>
        <v>0</v>
      </c>
    </row>
    <row r="544" spans="1:12" hidden="1" x14ac:dyDescent="0.2">
      <c r="A544" s="19" t="s">
        <v>221</v>
      </c>
      <c r="B544" s="10" t="s">
        <v>230</v>
      </c>
      <c r="C544" s="10" t="s">
        <v>233</v>
      </c>
      <c r="D544" s="6" t="s">
        <v>622</v>
      </c>
      <c r="E544" s="6" t="s">
        <v>621</v>
      </c>
      <c r="F544" s="13" t="s">
        <v>234</v>
      </c>
      <c r="G544" s="52">
        <v>-9200000</v>
      </c>
      <c r="H544" s="39">
        <v>45658</v>
      </c>
      <c r="I544" s="44"/>
      <c r="J544" s="15" t="s">
        <v>24</v>
      </c>
      <c r="K544" s="1" t="s">
        <v>66</v>
      </c>
      <c r="L544" s="54">
        <f t="shared" si="173"/>
        <v>0</v>
      </c>
    </row>
    <row r="545" spans="1:12" hidden="1" x14ac:dyDescent="0.2">
      <c r="A545" s="20" t="s">
        <v>343</v>
      </c>
      <c r="B545" s="14" t="s">
        <v>349</v>
      </c>
      <c r="C545" s="14" t="s">
        <v>350</v>
      </c>
      <c r="D545" s="6" t="s">
        <v>622</v>
      </c>
      <c r="E545" s="6" t="s">
        <v>621</v>
      </c>
      <c r="F545" s="14" t="s">
        <v>351</v>
      </c>
      <c r="G545" s="53">
        <v>-9563687.0399999991</v>
      </c>
      <c r="H545" s="40">
        <v>45658</v>
      </c>
      <c r="I545" s="45" t="s">
        <v>173</v>
      </c>
      <c r="J545" s="17" t="s">
        <v>24</v>
      </c>
      <c r="K545" s="43" t="s">
        <v>66</v>
      </c>
      <c r="L545" s="54">
        <f t="shared" si="173"/>
        <v>0</v>
      </c>
    </row>
    <row r="546" spans="1:12" hidden="1" x14ac:dyDescent="0.2">
      <c r="A546" s="20" t="s">
        <v>440</v>
      </c>
      <c r="B546" s="14" t="s">
        <v>440</v>
      </c>
      <c r="C546" s="14" t="e">
        <f>Data_BI!#REF!</f>
        <v>#REF!</v>
      </c>
      <c r="D546" s="6" t="s">
        <v>622</v>
      </c>
      <c r="E546" s="6" t="s">
        <v>621</v>
      </c>
      <c r="F546" s="14" t="s">
        <v>443</v>
      </c>
      <c r="G546" s="53">
        <v>-9614303</v>
      </c>
      <c r="H546" s="40">
        <v>45658</v>
      </c>
      <c r="I546" s="45"/>
      <c r="J546" s="17" t="s">
        <v>24</v>
      </c>
      <c r="K546" s="43" t="s">
        <v>442</v>
      </c>
      <c r="L546" s="54">
        <f t="shared" si="173"/>
        <v>0</v>
      </c>
    </row>
    <row r="547" spans="1:12" hidden="1" x14ac:dyDescent="0.2">
      <c r="A547" s="20" t="s">
        <v>343</v>
      </c>
      <c r="B547" s="14" t="s">
        <v>411</v>
      </c>
      <c r="C547" s="14" t="e">
        <f>Data_BI!#REF!</f>
        <v>#REF!</v>
      </c>
      <c r="D547" s="6" t="s">
        <v>622</v>
      </c>
      <c r="E547" s="6" t="s">
        <v>621</v>
      </c>
      <c r="F547" s="14" t="s">
        <v>418</v>
      </c>
      <c r="G547" s="53">
        <v>-14824293.4</v>
      </c>
      <c r="H547" s="40">
        <v>45658</v>
      </c>
      <c r="I547" s="45" t="s">
        <v>419</v>
      </c>
      <c r="J547" s="17" t="s">
        <v>24</v>
      </c>
      <c r="K547" s="43" t="s">
        <v>66</v>
      </c>
      <c r="L547" s="54">
        <f t="shared" ref="L547:L550" si="174">(ISNUMBER(G547))-1</f>
        <v>0</v>
      </c>
    </row>
    <row r="548" spans="1:12" hidden="1" x14ac:dyDescent="0.2">
      <c r="A548" s="19" t="s">
        <v>343</v>
      </c>
      <c r="B548" s="13" t="s">
        <v>411</v>
      </c>
      <c r="C548" s="13" t="str">
        <f>Data_BI!$B19</f>
        <v>Процентный доход</v>
      </c>
      <c r="D548" s="6" t="s">
        <v>622</v>
      </c>
      <c r="E548" s="6" t="s">
        <v>621</v>
      </c>
      <c r="F548" s="13" t="s">
        <v>417</v>
      </c>
      <c r="G548" s="52">
        <v>-15094681.5</v>
      </c>
      <c r="H548" s="39">
        <v>45658</v>
      </c>
      <c r="I548" s="44"/>
      <c r="J548" s="15" t="s">
        <v>24</v>
      </c>
      <c r="K548" s="1" t="s">
        <v>66</v>
      </c>
      <c r="L548" s="54">
        <f t="shared" si="174"/>
        <v>0</v>
      </c>
    </row>
    <row r="549" spans="1:12" hidden="1" x14ac:dyDescent="0.2">
      <c r="A549" s="20" t="s">
        <v>15</v>
      </c>
      <c r="B549" s="14" t="s">
        <v>63</v>
      </c>
      <c r="C549" s="14" t="s">
        <v>76</v>
      </c>
      <c r="D549" s="6" t="s">
        <v>38</v>
      </c>
      <c r="E549" s="6" t="s">
        <v>621</v>
      </c>
      <c r="F549" s="14" t="s">
        <v>77</v>
      </c>
      <c r="G549" s="53">
        <v>-15589964.949999999</v>
      </c>
      <c r="H549" s="40">
        <v>45658</v>
      </c>
      <c r="I549" s="45"/>
      <c r="J549" s="17" t="s">
        <v>24</v>
      </c>
      <c r="K549" s="43" t="s">
        <v>66</v>
      </c>
      <c r="L549" s="54">
        <f t="shared" si="174"/>
        <v>0</v>
      </c>
    </row>
    <row r="550" spans="1:12" hidden="1" x14ac:dyDescent="0.2">
      <c r="A550" s="20" t="s">
        <v>343</v>
      </c>
      <c r="B550" s="14" t="s">
        <v>411</v>
      </c>
      <c r="C550" s="14" t="e">
        <f>Data_BI!#REF!</f>
        <v>#REF!</v>
      </c>
      <c r="D550" s="6" t="s">
        <v>622</v>
      </c>
      <c r="E550" s="6" t="s">
        <v>621</v>
      </c>
      <c r="F550" s="14" t="s">
        <v>415</v>
      </c>
      <c r="G550" s="53">
        <v>-16106512.5</v>
      </c>
      <c r="H550" s="40">
        <v>45658</v>
      </c>
      <c r="I550" s="45" t="s">
        <v>416</v>
      </c>
      <c r="J550" s="17" t="s">
        <v>24</v>
      </c>
      <c r="K550" s="43" t="s">
        <v>66</v>
      </c>
      <c r="L550" s="54">
        <f t="shared" si="174"/>
        <v>0</v>
      </c>
    </row>
    <row r="551" spans="1:12" hidden="1" x14ac:dyDescent="0.2">
      <c r="A551" s="20" t="s">
        <v>263</v>
      </c>
      <c r="B551" s="14" t="s">
        <v>301</v>
      </c>
      <c r="C551" s="14" t="e">
        <f>Data_BI!#REF!</f>
        <v>#REF!</v>
      </c>
      <c r="D551" s="6" t="s">
        <v>622</v>
      </c>
      <c r="E551" s="6" t="s">
        <v>621</v>
      </c>
      <c r="F551" s="14" t="s">
        <v>307</v>
      </c>
      <c r="G551" s="53">
        <v>-18170707.68</v>
      </c>
      <c r="H551" s="40">
        <v>45658</v>
      </c>
      <c r="I551" s="45" t="s">
        <v>268</v>
      </c>
      <c r="J551" s="17" t="s">
        <v>24</v>
      </c>
      <c r="K551" s="43" t="s">
        <v>266</v>
      </c>
      <c r="L551" s="54">
        <f t="shared" ref="L551:L557" si="175">(ISNUMBER(G551))-1</f>
        <v>0</v>
      </c>
    </row>
    <row r="552" spans="1:12" hidden="1" x14ac:dyDescent="0.2">
      <c r="A552" s="19" t="s">
        <v>343</v>
      </c>
      <c r="B552" s="13" t="s">
        <v>411</v>
      </c>
      <c r="C552" s="13" t="e">
        <f>Data_BI!#REF!</f>
        <v>#REF!</v>
      </c>
      <c r="D552" s="6" t="s">
        <v>622</v>
      </c>
      <c r="E552" s="6" t="s">
        <v>621</v>
      </c>
      <c r="F552" s="13" t="s">
        <v>414</v>
      </c>
      <c r="G552" s="52">
        <v>-20000000.399999999</v>
      </c>
      <c r="H552" s="39">
        <v>45658</v>
      </c>
      <c r="I552" s="44"/>
      <c r="J552" s="15" t="s">
        <v>24</v>
      </c>
      <c r="K552" s="1" t="s">
        <v>66</v>
      </c>
      <c r="L552" s="54">
        <f t="shared" si="175"/>
        <v>0</v>
      </c>
    </row>
    <row r="553" spans="1:12" hidden="1" x14ac:dyDescent="0.2">
      <c r="A553" s="19" t="s">
        <v>263</v>
      </c>
      <c r="B553" s="13" t="s">
        <v>301</v>
      </c>
      <c r="C553" s="13" t="e">
        <f>Data_BI!#REF!</f>
        <v>#REF!</v>
      </c>
      <c r="D553" s="6" t="s">
        <v>622</v>
      </c>
      <c r="E553" s="6" t="s">
        <v>621</v>
      </c>
      <c r="F553" s="13" t="s">
        <v>306</v>
      </c>
      <c r="G553" s="52">
        <v>-20661597.579999998</v>
      </c>
      <c r="H553" s="39">
        <v>45658</v>
      </c>
      <c r="I553" s="44" t="s">
        <v>268</v>
      </c>
      <c r="J553" s="15" t="s">
        <v>24</v>
      </c>
      <c r="K553" s="43" t="s">
        <v>266</v>
      </c>
      <c r="L553" s="54">
        <f t="shared" si="175"/>
        <v>0</v>
      </c>
    </row>
    <row r="554" spans="1:12" hidden="1" x14ac:dyDescent="0.2">
      <c r="A554" s="19" t="s">
        <v>201</v>
      </c>
      <c r="B554" s="13" t="s">
        <v>202</v>
      </c>
      <c r="C554" s="13" t="s">
        <v>213</v>
      </c>
      <c r="D554" s="6" t="s">
        <v>622</v>
      </c>
      <c r="E554" s="6" t="s">
        <v>205</v>
      </c>
      <c r="F554" s="13"/>
      <c r="G554" s="52">
        <v>-23645247</v>
      </c>
      <c r="H554" s="39">
        <v>45658</v>
      </c>
      <c r="I554" s="44"/>
      <c r="J554" s="15" t="s">
        <v>24</v>
      </c>
      <c r="K554" s="1" t="s">
        <v>25</v>
      </c>
      <c r="L554" s="54">
        <f t="shared" si="175"/>
        <v>0</v>
      </c>
    </row>
    <row r="555" spans="1:12" hidden="1" x14ac:dyDescent="0.2">
      <c r="A555" s="20" t="s">
        <v>15</v>
      </c>
      <c r="B555" s="14" t="s">
        <v>63</v>
      </c>
      <c r="C555" s="14" t="s">
        <v>64</v>
      </c>
      <c r="D555" s="6" t="s">
        <v>622</v>
      </c>
      <c r="E555" s="6" t="s">
        <v>621</v>
      </c>
      <c r="F555" s="14" t="s">
        <v>65</v>
      </c>
      <c r="G555" s="53">
        <v>-26827397.27</v>
      </c>
      <c r="H555" s="40">
        <v>45658</v>
      </c>
      <c r="I555" s="45"/>
      <c r="J555" s="17" t="s">
        <v>24</v>
      </c>
      <c r="K555" s="43" t="s">
        <v>66</v>
      </c>
      <c r="L555" s="54">
        <f t="shared" si="175"/>
        <v>0</v>
      </c>
    </row>
    <row r="556" spans="1:12" hidden="1" x14ac:dyDescent="0.2">
      <c r="A556" s="19" t="s">
        <v>440</v>
      </c>
      <c r="B556" s="13" t="s">
        <v>440</v>
      </c>
      <c r="C556" s="13" t="e">
        <f>Data_BI!#REF!</f>
        <v>#REF!</v>
      </c>
      <c r="D556" s="6" t="s">
        <v>622</v>
      </c>
      <c r="E556" s="6" t="s">
        <v>621</v>
      </c>
      <c r="F556" s="13" t="s">
        <v>441</v>
      </c>
      <c r="G556" s="52">
        <v>-31024928</v>
      </c>
      <c r="H556" s="39">
        <v>45658</v>
      </c>
      <c r="I556" s="44"/>
      <c r="J556" s="15" t="s">
        <v>24</v>
      </c>
      <c r="K556" s="1" t="s">
        <v>442</v>
      </c>
      <c r="L556" s="54">
        <f t="shared" si="175"/>
        <v>0</v>
      </c>
    </row>
    <row r="557" spans="1:12" hidden="1" x14ac:dyDescent="0.2">
      <c r="A557" s="20" t="s">
        <v>201</v>
      </c>
      <c r="B557" s="14" t="s">
        <v>202</v>
      </c>
      <c r="C557" s="14" t="s">
        <v>213</v>
      </c>
      <c r="D557" s="6" t="s">
        <v>622</v>
      </c>
      <c r="E557" s="6" t="s">
        <v>206</v>
      </c>
      <c r="F557" s="14"/>
      <c r="G557" s="53">
        <v>-32069554.600000001</v>
      </c>
      <c r="H557" s="40">
        <v>45658</v>
      </c>
      <c r="I557" s="45"/>
      <c r="J557" s="17" t="s">
        <v>24</v>
      </c>
      <c r="K557" s="43" t="s">
        <v>25</v>
      </c>
      <c r="L557" s="54">
        <f t="shared" si="175"/>
        <v>0</v>
      </c>
    </row>
    <row r="558" spans="1:12" hidden="1" x14ac:dyDescent="0.2">
      <c r="A558" s="20" t="s">
        <v>263</v>
      </c>
      <c r="B558" s="14" t="s">
        <v>301</v>
      </c>
      <c r="C558" s="14" t="s">
        <v>301</v>
      </c>
      <c r="D558" s="6" t="s">
        <v>622</v>
      </c>
      <c r="E558" s="6" t="s">
        <v>621</v>
      </c>
      <c r="F558" s="14" t="s">
        <v>305</v>
      </c>
      <c r="G558" s="53">
        <v>-33000000</v>
      </c>
      <c r="H558" s="40">
        <v>45658</v>
      </c>
      <c r="I558" s="45"/>
      <c r="J558" s="17" t="s">
        <v>24</v>
      </c>
      <c r="K558" s="43" t="s">
        <v>266</v>
      </c>
      <c r="L558" s="54">
        <f t="shared" ref="L558:L564" si="176">(ISNUMBER(G558))-1</f>
        <v>0</v>
      </c>
    </row>
    <row r="559" spans="1:12" hidden="1" x14ac:dyDescent="0.2">
      <c r="A559" s="19" t="s">
        <v>263</v>
      </c>
      <c r="B559" s="13" t="s">
        <v>301</v>
      </c>
      <c r="C559" s="13" t="s">
        <v>301</v>
      </c>
      <c r="D559" s="6" t="s">
        <v>622</v>
      </c>
      <c r="E559" s="6" t="s">
        <v>621</v>
      </c>
      <c r="F559" s="13" t="s">
        <v>304</v>
      </c>
      <c r="G559" s="52">
        <v>-33150491.809999999</v>
      </c>
      <c r="H559" s="39">
        <v>45658</v>
      </c>
      <c r="I559" s="44"/>
      <c r="J559" s="15" t="s">
        <v>24</v>
      </c>
      <c r="K559" s="43" t="s">
        <v>266</v>
      </c>
      <c r="L559" s="54">
        <f t="shared" si="176"/>
        <v>0</v>
      </c>
    </row>
    <row r="560" spans="1:12" hidden="1" x14ac:dyDescent="0.2">
      <c r="A560" s="19" t="s">
        <v>81</v>
      </c>
      <c r="B560" s="13" t="s">
        <v>82</v>
      </c>
      <c r="C560" s="13" t="s">
        <v>590</v>
      </c>
      <c r="D560" s="6" t="s">
        <v>622</v>
      </c>
      <c r="E560" s="6" t="s">
        <v>621</v>
      </c>
      <c r="F560" s="13"/>
      <c r="G560" s="52">
        <v>-37445578.119999997</v>
      </c>
      <c r="H560" s="39">
        <v>45658</v>
      </c>
      <c r="I560" s="15"/>
      <c r="J560" s="15" t="s">
        <v>589</v>
      </c>
      <c r="K560" s="1" t="s">
        <v>25</v>
      </c>
      <c r="L560" s="54">
        <f t="shared" si="176"/>
        <v>0</v>
      </c>
    </row>
    <row r="561" spans="1:12" hidden="1" x14ac:dyDescent="0.2">
      <c r="A561" s="20" t="s">
        <v>263</v>
      </c>
      <c r="B561" s="14" t="s">
        <v>301</v>
      </c>
      <c r="C561" s="14" t="s">
        <v>301</v>
      </c>
      <c r="D561" s="6" t="s">
        <v>622</v>
      </c>
      <c r="E561" s="6" t="s">
        <v>621</v>
      </c>
      <c r="F561" s="14" t="s">
        <v>303</v>
      </c>
      <c r="G561" s="53">
        <v>-37643446.18</v>
      </c>
      <c r="H561" s="40">
        <v>45658</v>
      </c>
      <c r="I561" s="45"/>
      <c r="J561" s="17" t="s">
        <v>24</v>
      </c>
      <c r="K561" s="43" t="s">
        <v>266</v>
      </c>
      <c r="L561" s="54">
        <f t="shared" si="176"/>
        <v>0</v>
      </c>
    </row>
    <row r="562" spans="1:12" hidden="1" x14ac:dyDescent="0.2">
      <c r="A562" s="20" t="s">
        <v>343</v>
      </c>
      <c r="B562" s="14" t="s">
        <v>411</v>
      </c>
      <c r="C562" s="14" t="e">
        <f>Data_BI!#REF!</f>
        <v>#REF!</v>
      </c>
      <c r="D562" s="6" t="s">
        <v>622</v>
      </c>
      <c r="E562" s="6" t="s">
        <v>621</v>
      </c>
      <c r="F562" s="14" t="s">
        <v>413</v>
      </c>
      <c r="G562" s="53">
        <v>-50396285.229999997</v>
      </c>
      <c r="H562" s="40">
        <v>45658</v>
      </c>
      <c r="I562" s="45"/>
      <c r="J562" s="17" t="s">
        <v>24</v>
      </c>
      <c r="K562" s="43" t="s">
        <v>66</v>
      </c>
      <c r="L562" s="54">
        <f t="shared" si="176"/>
        <v>0</v>
      </c>
    </row>
    <row r="563" spans="1:12" hidden="1" x14ac:dyDescent="0.2">
      <c r="A563" s="19" t="s">
        <v>81</v>
      </c>
      <c r="B563" s="13" t="s">
        <v>168</v>
      </c>
      <c r="C563" s="13" t="s">
        <v>171</v>
      </c>
      <c r="D563" s="6" t="s">
        <v>622</v>
      </c>
      <c r="E563" s="6" t="s">
        <v>621</v>
      </c>
      <c r="F563" s="13" t="s">
        <v>172</v>
      </c>
      <c r="G563" s="52">
        <v>-52039418.520000003</v>
      </c>
      <c r="H563" s="39">
        <v>45658</v>
      </c>
      <c r="I563" s="44" t="s">
        <v>173</v>
      </c>
      <c r="J563" s="15" t="s">
        <v>24</v>
      </c>
      <c r="K563" s="1" t="s">
        <v>66</v>
      </c>
      <c r="L563" s="54">
        <f t="shared" si="176"/>
        <v>0</v>
      </c>
    </row>
    <row r="564" spans="1:12" hidden="1" x14ac:dyDescent="0.2">
      <c r="A564" s="16" t="s">
        <v>201</v>
      </c>
      <c r="B564" s="17" t="s">
        <v>202</v>
      </c>
      <c r="C564" s="17" t="s">
        <v>213</v>
      </c>
      <c r="D564" s="6" t="s">
        <v>622</v>
      </c>
      <c r="E564" s="6" t="s">
        <v>209</v>
      </c>
      <c r="F564" s="14"/>
      <c r="G564" s="53">
        <v>-57390269.310000002</v>
      </c>
      <c r="H564" s="41">
        <v>45658</v>
      </c>
      <c r="I564" s="45"/>
      <c r="J564" s="17" t="s">
        <v>24</v>
      </c>
      <c r="K564" s="43" t="s">
        <v>25</v>
      </c>
      <c r="L564" s="54">
        <f t="shared" si="176"/>
        <v>0</v>
      </c>
    </row>
    <row r="565" spans="1:12" hidden="1" x14ac:dyDescent="0.2">
      <c r="A565" s="18" t="s">
        <v>15</v>
      </c>
      <c r="B565" s="15" t="s">
        <v>63</v>
      </c>
      <c r="C565" s="15" t="s">
        <v>69</v>
      </c>
      <c r="D565" s="10" t="s">
        <v>30</v>
      </c>
      <c r="E565" s="6" t="s">
        <v>621</v>
      </c>
      <c r="F565" s="13" t="s">
        <v>70</v>
      </c>
      <c r="G565" s="52">
        <v>-70657288.640000001</v>
      </c>
      <c r="H565" s="42">
        <v>45658</v>
      </c>
      <c r="I565" s="44"/>
      <c r="J565" s="15" t="s">
        <v>24</v>
      </c>
      <c r="K565" s="1" t="s">
        <v>66</v>
      </c>
      <c r="L565" s="54">
        <f t="shared" ref="L565:L568" si="177">(ISNUMBER(G565))-1</f>
        <v>0</v>
      </c>
    </row>
    <row r="566" spans="1:12" hidden="1" x14ac:dyDescent="0.2">
      <c r="A566" s="18" t="s">
        <v>263</v>
      </c>
      <c r="B566" s="15" t="s">
        <v>301</v>
      </c>
      <c r="C566" s="15" t="s">
        <v>301</v>
      </c>
      <c r="D566" s="6" t="s">
        <v>622</v>
      </c>
      <c r="E566" s="6" t="s">
        <v>621</v>
      </c>
      <c r="F566" s="13" t="s">
        <v>302</v>
      </c>
      <c r="G566" s="52">
        <v>-98348830</v>
      </c>
      <c r="H566" s="42">
        <v>45658</v>
      </c>
      <c r="I566" s="44"/>
      <c r="J566" s="15" t="s">
        <v>24</v>
      </c>
      <c r="K566" s="43" t="s">
        <v>266</v>
      </c>
      <c r="L566" s="54">
        <f t="shared" si="177"/>
        <v>0</v>
      </c>
    </row>
    <row r="567" spans="1:12" hidden="1" x14ac:dyDescent="0.2">
      <c r="A567" s="18" t="s">
        <v>343</v>
      </c>
      <c r="B567" s="15" t="s">
        <v>411</v>
      </c>
      <c r="C567" s="15" t="e">
        <f>Data_BI!#REF!</f>
        <v>#REF!</v>
      </c>
      <c r="D567" s="6" t="s">
        <v>622</v>
      </c>
      <c r="E567" s="6" t="s">
        <v>621</v>
      </c>
      <c r="F567" s="13" t="s">
        <v>412</v>
      </c>
      <c r="G567" s="52">
        <v>-135736605.71000001</v>
      </c>
      <c r="H567" s="42">
        <v>45658</v>
      </c>
      <c r="I567" s="44"/>
      <c r="J567" s="15" t="s">
        <v>24</v>
      </c>
      <c r="K567" s="1" t="s">
        <v>66</v>
      </c>
      <c r="L567" s="54">
        <f t="shared" si="177"/>
        <v>0</v>
      </c>
    </row>
    <row r="568" spans="1:12" hidden="1" x14ac:dyDescent="0.2">
      <c r="A568" s="16" t="s">
        <v>81</v>
      </c>
      <c r="B568" s="17" t="s">
        <v>168</v>
      </c>
      <c r="C568" s="17" t="s">
        <v>181</v>
      </c>
      <c r="D568" s="6" t="s">
        <v>622</v>
      </c>
      <c r="E568" s="6" t="s">
        <v>621</v>
      </c>
      <c r="F568" s="17" t="s">
        <v>182</v>
      </c>
      <c r="G568" s="50">
        <v>-176848474.36000001</v>
      </c>
      <c r="H568" s="37">
        <v>45658</v>
      </c>
      <c r="I568" s="46"/>
      <c r="J568" s="17" t="s">
        <v>24</v>
      </c>
      <c r="K568" s="43" t="s">
        <v>66</v>
      </c>
      <c r="L568" s="54">
        <f t="shared" si="177"/>
        <v>0</v>
      </c>
    </row>
  </sheetData>
  <autoFilter ref="A1:K568" xr:uid="{FAFC4707-0CBA-B74C-A345-FCB0CBB238E7}">
    <filterColumn colId="7">
      <filters>
        <dateGroupItem year="2025" month="2" dateTimeGrouping="month"/>
        <dateGroupItem year="2025" month="3" dateTimeGrouping="month"/>
        <dateGroupItem year="2025" month="4" dateTimeGrouping="month"/>
        <dateGroupItem year="2025" month="5" dateTimeGrouping="month"/>
        <dateGroupItem year="2025" month="6" dateTimeGrouping="month"/>
        <dateGroupItem year="2025" month="7" dateTimeGrouping="month"/>
        <dateGroupItem year="2025" month="8" dateTimeGrouping="month"/>
        <dateGroupItem year="2025" month="9" dateTimeGrouping="month"/>
        <dateGroupItem year="2025" month="10" dateTimeGrouping="month"/>
        <dateGroupItem year="2025" month="11" dateTimeGrouping="month"/>
      </filters>
    </filterColumn>
    <sortState xmlns:xlrd2="http://schemas.microsoft.com/office/spreadsheetml/2017/richdata2" ref="A2:K568">
      <sortCondition descending="1" ref="G1:G568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AEBE-AD71-A24C-8A26-1C8BE070853D}">
  <dimension ref="A1:D21"/>
  <sheetViews>
    <sheetView zoomScale="140" zoomScaleNormal="140" workbookViewId="0">
      <selection activeCell="A28" sqref="A28"/>
    </sheetView>
  </sheetViews>
  <sheetFormatPr baseColWidth="10" defaultRowHeight="16" x14ac:dyDescent="0.2"/>
  <cols>
    <col min="1" max="1" width="34" bestFit="1" customWidth="1"/>
    <col min="2" max="2" width="38" bestFit="1" customWidth="1"/>
    <col min="3" max="3" width="55.33203125" bestFit="1" customWidth="1"/>
    <col min="4" max="4" width="63.1640625" customWidth="1"/>
  </cols>
  <sheetData>
    <row r="1" spans="1:4" x14ac:dyDescent="0.2">
      <c r="A1" t="s">
        <v>592</v>
      </c>
      <c r="B1" t="s">
        <v>593</v>
      </c>
      <c r="C1" t="s">
        <v>594</v>
      </c>
      <c r="D1" t="s">
        <v>595</v>
      </c>
    </row>
    <row r="2" spans="1:4" x14ac:dyDescent="0.2">
      <c r="A2" t="s">
        <v>596</v>
      </c>
      <c r="B2" s="21" t="s">
        <v>0</v>
      </c>
      <c r="C2" s="22" t="s">
        <v>15</v>
      </c>
    </row>
    <row r="3" spans="1:4" x14ac:dyDescent="0.2">
      <c r="A3" t="s">
        <v>596</v>
      </c>
      <c r="B3" s="23" t="s">
        <v>1</v>
      </c>
      <c r="C3" s="24" t="s">
        <v>16</v>
      </c>
    </row>
    <row r="4" spans="1:4" x14ac:dyDescent="0.2">
      <c r="A4" t="s">
        <v>596</v>
      </c>
      <c r="B4" s="23" t="s">
        <v>2</v>
      </c>
      <c r="C4" s="24" t="s">
        <v>17</v>
      </c>
    </row>
    <row r="5" spans="1:4" x14ac:dyDescent="0.2">
      <c r="A5" t="s">
        <v>596</v>
      </c>
      <c r="B5" s="23" t="s">
        <v>3</v>
      </c>
      <c r="C5" s="24" t="s">
        <v>597</v>
      </c>
      <c r="D5" t="s">
        <v>598</v>
      </c>
    </row>
    <row r="6" spans="1:4" x14ac:dyDescent="0.2">
      <c r="A6" t="s">
        <v>599</v>
      </c>
      <c r="B6" s="23" t="s">
        <v>4</v>
      </c>
      <c r="C6" s="24" t="s">
        <v>18</v>
      </c>
      <c r="D6" t="s">
        <v>598</v>
      </c>
    </row>
    <row r="7" spans="1:4" x14ac:dyDescent="0.2">
      <c r="A7" t="s">
        <v>600</v>
      </c>
      <c r="B7" s="23" t="s">
        <v>5</v>
      </c>
      <c r="C7" s="24" t="s">
        <v>19</v>
      </c>
      <c r="D7" t="s">
        <v>601</v>
      </c>
    </row>
    <row r="8" spans="1:4" x14ac:dyDescent="0.2">
      <c r="A8" t="s">
        <v>602</v>
      </c>
      <c r="B8" s="25" t="s">
        <v>6</v>
      </c>
      <c r="C8" s="26">
        <v>99411.47</v>
      </c>
      <c r="D8" t="s">
        <v>603</v>
      </c>
    </row>
    <row r="9" spans="1:4" x14ac:dyDescent="0.2">
      <c r="A9" s="27" t="s">
        <v>600</v>
      </c>
      <c r="B9" s="25" t="s">
        <v>7</v>
      </c>
      <c r="C9" s="26">
        <f>IFERROR(IMABS([1]Data_BI!C$7),0)</f>
        <v>0</v>
      </c>
    </row>
    <row r="10" spans="1:4" x14ac:dyDescent="0.2">
      <c r="A10" t="s">
        <v>602</v>
      </c>
      <c r="B10" s="23" t="s">
        <v>8</v>
      </c>
      <c r="C10" s="24" t="s">
        <v>20</v>
      </c>
      <c r="D10" t="s">
        <v>604</v>
      </c>
    </row>
    <row r="11" spans="1:4" x14ac:dyDescent="0.2">
      <c r="A11" t="s">
        <v>600</v>
      </c>
      <c r="B11" s="23" t="s">
        <v>9</v>
      </c>
      <c r="C11" s="28">
        <v>7.060181040000113E+19</v>
      </c>
    </row>
    <row r="12" spans="1:4" x14ac:dyDescent="0.2">
      <c r="A12" t="s">
        <v>600</v>
      </c>
      <c r="B12" s="23" t="s">
        <v>10</v>
      </c>
      <c r="C12" s="24" t="s">
        <v>21</v>
      </c>
    </row>
    <row r="13" spans="1:4" x14ac:dyDescent="0.2">
      <c r="A13" t="s">
        <v>600</v>
      </c>
      <c r="B13" s="23" t="s">
        <v>11</v>
      </c>
      <c r="C13" s="24" t="s">
        <v>22</v>
      </c>
    </row>
    <row r="14" spans="1:4" x14ac:dyDescent="0.2">
      <c r="A14" t="s">
        <v>599</v>
      </c>
      <c r="B14" s="23" t="s">
        <v>12</v>
      </c>
      <c r="C14" s="29" t="s">
        <v>23</v>
      </c>
      <c r="D14" t="s">
        <v>605</v>
      </c>
    </row>
    <row r="15" spans="1:4" x14ac:dyDescent="0.2">
      <c r="A15" t="s">
        <v>596</v>
      </c>
      <c r="B15" s="23" t="s">
        <v>13</v>
      </c>
      <c r="C15" s="24" t="s">
        <v>24</v>
      </c>
    </row>
    <row r="16" spans="1:4" x14ac:dyDescent="0.2">
      <c r="A16" t="s">
        <v>596</v>
      </c>
      <c r="B16" s="30" t="s">
        <v>14</v>
      </c>
      <c r="C16" s="31" t="s">
        <v>606</v>
      </c>
      <c r="D16" t="s">
        <v>266</v>
      </c>
    </row>
    <row r="17" spans="1:4" ht="17" x14ac:dyDescent="0.2">
      <c r="A17" t="s">
        <v>607</v>
      </c>
      <c r="B17" t="s">
        <v>12</v>
      </c>
      <c r="C17" t="s">
        <v>23</v>
      </c>
      <c r="D17" s="32" t="s">
        <v>605</v>
      </c>
    </row>
    <row r="18" spans="1:4" ht="51" x14ac:dyDescent="0.2">
      <c r="A18" t="s">
        <v>608</v>
      </c>
      <c r="B18" s="33" t="s">
        <v>609</v>
      </c>
      <c r="C18" s="34" t="s">
        <v>610</v>
      </c>
      <c r="D18" s="32" t="s">
        <v>611</v>
      </c>
    </row>
    <row r="19" spans="1:4" ht="34" x14ac:dyDescent="0.2">
      <c r="A19" t="s">
        <v>608</v>
      </c>
      <c r="B19" s="33" t="s">
        <v>612</v>
      </c>
      <c r="C19" s="34" t="s">
        <v>613</v>
      </c>
      <c r="D19" s="32" t="s">
        <v>614</v>
      </c>
    </row>
    <row r="20" spans="1:4" ht="17" x14ac:dyDescent="0.2">
      <c r="A20" t="s">
        <v>608</v>
      </c>
      <c r="B20" s="33" t="s">
        <v>615</v>
      </c>
      <c r="C20" s="34" t="s">
        <v>616</v>
      </c>
      <c r="D20" s="32" t="s">
        <v>617</v>
      </c>
    </row>
    <row r="21" spans="1:4" ht="51" x14ac:dyDescent="0.2">
      <c r="A21" t="s">
        <v>608</v>
      </c>
      <c r="B21" s="33" t="s">
        <v>618</v>
      </c>
      <c r="C21" s="34" t="s">
        <v>619</v>
      </c>
      <c r="D21" s="32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Data_BI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Повалишин Максим Сергеевич</dc:creator>
  <cp:lastModifiedBy>Повалишин Максим Сергеевич</cp:lastModifiedBy>
  <dcterms:created xsi:type="dcterms:W3CDTF">2026-01-25T12:22:25Z</dcterms:created>
  <dcterms:modified xsi:type="dcterms:W3CDTF">2026-01-31T10:32:07Z</dcterms:modified>
</cp:coreProperties>
</file>